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o365-my.sharepoint.com/personal/a1958015_adelaide_edu_au/Documents/JugglingProject_Henriquez_C_a1958015/1. Data/2. PR-B/2. Model (MATLAB)/"/>
    </mc:Choice>
  </mc:AlternateContent>
  <xr:revisionPtr revIDLastSave="214" documentId="8_{DF82BEF1-FEB1-483F-A1E5-1ACAB200AA0B}" xr6:coauthVersionLast="47" xr6:coauthVersionMax="47" xr10:uidLastSave="{C7F76B35-EF14-48F8-873A-7A864112E747}"/>
  <bookViews>
    <workbookView xWindow="3285" yWindow="975" windowWidth="23010" windowHeight="12210" firstSheet="8" activeTab="8" xr2:uid="{9E1B7066-F720-4991-A497-7C38362A9072}"/>
  </bookViews>
  <sheets>
    <sheet name="w.o. multplex" sheetId="1" r:id="rId1"/>
    <sheet name="w.o. mplex" sheetId="2" r:id="rId2"/>
    <sheet name="w. mplex v1" sheetId="3" r:id="rId3"/>
    <sheet name="w. mplex v2" sheetId="4" r:id="rId4"/>
    <sheet name="260620 w. mplex v3" sheetId="6" r:id="rId5"/>
    <sheet name="260630 Manual diagram" sheetId="7" r:id="rId6"/>
    <sheet name="260703 MC ppt" sheetId="8" r:id="rId7"/>
    <sheet name="260713 Manual diagram" sheetId="9" r:id="rId8"/>
    <sheet name="260720 - Draw" sheetId="11" r:id="rId9"/>
    <sheet name="Future" sheetId="5" state="hidden" r:id="rId10"/>
  </sheets>
  <definedNames>
    <definedName name="_xlnm._FilterDatabase" localSheetId="4" hidden="1">'260620 w. mplex v3'!$Q$53:$R$72</definedName>
    <definedName name="_xlnm._FilterDatabase" localSheetId="5" hidden="1">'260630 Manual diagram'!$A$6:$U$33</definedName>
    <definedName name="_xlnm._FilterDatabase" localSheetId="6" hidden="1">'260703 MC ppt'!$A$6:$U$33</definedName>
    <definedName name="_xlnm._FilterDatabase" localSheetId="7" hidden="1">'260713 Manual diagram'!$B$175:$E$230</definedName>
    <definedName name="_xlnm._FilterDatabase" localSheetId="8" hidden="1">'260720 - Draw'!$B$175:$E$230</definedName>
    <definedName name="_xlnm._FilterDatabase" localSheetId="2" hidden="1">'w. mplex v1'!$Q$42:$R$61</definedName>
    <definedName name="_xlnm._FilterDatabase" localSheetId="3" hidden="1">'w. mplex v2'!$Q$53:$R$72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8" i="11" l="1"/>
  <c r="T288" i="11"/>
  <c r="R288" i="11"/>
  <c r="P288" i="11"/>
  <c r="N288" i="11"/>
  <c r="L288" i="11"/>
  <c r="J288" i="11"/>
  <c r="H288" i="11"/>
  <c r="G288" i="11"/>
  <c r="F288" i="11"/>
  <c r="E288" i="11"/>
  <c r="D288" i="11"/>
  <c r="D289" i="11" s="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Q269" i="11" s="1"/>
  <c r="B269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Q268" i="11" s="1"/>
  <c r="B268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Q267" i="11" s="1"/>
  <c r="B267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Q266" i="11" s="1"/>
  <c r="C266" i="11"/>
  <c r="B266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Q265" i="11" s="1"/>
  <c r="B265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Q264" i="11" s="1"/>
  <c r="B264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Q263" i="11" s="1"/>
  <c r="B263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Q262" i="11" s="1"/>
  <c r="B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Q261" i="11" s="1"/>
  <c r="C261" i="11"/>
  <c r="B261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Q260" i="11" s="1"/>
  <c r="B260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Q259" i="11" s="1"/>
  <c r="B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Q258" i="11" s="1"/>
  <c r="B258" i="11"/>
  <c r="O257" i="11"/>
  <c r="O271" i="11" s="1"/>
  <c r="AB289" i="11" s="1"/>
  <c r="N257" i="11"/>
  <c r="N271" i="11" s="1"/>
  <c r="Z289" i="11" s="1"/>
  <c r="M257" i="11"/>
  <c r="M271" i="11" s="1"/>
  <c r="X289" i="11" s="1"/>
  <c r="L257" i="11"/>
  <c r="L271" i="11" s="1"/>
  <c r="K257" i="11"/>
  <c r="K271" i="11" s="1"/>
  <c r="T289" i="11" s="1"/>
  <c r="J257" i="11"/>
  <c r="J271" i="11" s="1"/>
  <c r="R289" i="11" s="1"/>
  <c r="I257" i="11"/>
  <c r="I271" i="11" s="1"/>
  <c r="H257" i="11"/>
  <c r="H271" i="11" s="1"/>
  <c r="G257" i="11"/>
  <c r="G271" i="11" s="1"/>
  <c r="F257" i="11"/>
  <c r="F271" i="11" s="1"/>
  <c r="J289" i="11" s="1"/>
  <c r="E257" i="11"/>
  <c r="E271" i="11" s="1"/>
  <c r="D257" i="11"/>
  <c r="D271" i="11" s="1"/>
  <c r="C257" i="11"/>
  <c r="C271" i="11" s="1"/>
  <c r="B257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D234" i="11"/>
  <c r="D233" i="11"/>
  <c r="D235" i="11" s="1"/>
  <c r="S230" i="11"/>
  <c r="Q230" i="11"/>
  <c r="N230" i="11"/>
  <c r="S229" i="11"/>
  <c r="Q229" i="11"/>
  <c r="N229" i="11"/>
  <c r="S228" i="11"/>
  <c r="Q228" i="11"/>
  <c r="N228" i="11"/>
  <c r="S227" i="11"/>
  <c r="Q227" i="11"/>
  <c r="N227" i="11"/>
  <c r="S226" i="11"/>
  <c r="Q226" i="11"/>
  <c r="N226" i="11"/>
  <c r="S225" i="11"/>
  <c r="Q225" i="11"/>
  <c r="N225" i="11"/>
  <c r="S224" i="11"/>
  <c r="Q224" i="11"/>
  <c r="N224" i="11"/>
  <c r="S223" i="11"/>
  <c r="Q223" i="11"/>
  <c r="N223" i="11"/>
  <c r="S222" i="11"/>
  <c r="Q222" i="11"/>
  <c r="N222" i="11"/>
  <c r="S221" i="11"/>
  <c r="Q221" i="11"/>
  <c r="N221" i="11"/>
  <c r="S220" i="11"/>
  <c r="Q220" i="11"/>
  <c r="N220" i="11"/>
  <c r="S219" i="11"/>
  <c r="Q219" i="11"/>
  <c r="N219" i="11"/>
  <c r="S218" i="11"/>
  <c r="Q218" i="11"/>
  <c r="N218" i="11"/>
  <c r="S217" i="11"/>
  <c r="Q217" i="11"/>
  <c r="N217" i="11"/>
  <c r="S216" i="11"/>
  <c r="Q216" i="11"/>
  <c r="N216" i="11"/>
  <c r="S215" i="11"/>
  <c r="Q215" i="11"/>
  <c r="N215" i="11"/>
  <c r="S214" i="11"/>
  <c r="Q214" i="11"/>
  <c r="N214" i="11"/>
  <c r="S213" i="11"/>
  <c r="Q213" i="11"/>
  <c r="N213" i="11"/>
  <c r="S212" i="11"/>
  <c r="Q212" i="11"/>
  <c r="N212" i="11"/>
  <c r="S211" i="11"/>
  <c r="Q211" i="11"/>
  <c r="N211" i="11"/>
  <c r="S210" i="11"/>
  <c r="Q210" i="11"/>
  <c r="N210" i="11"/>
  <c r="S209" i="11"/>
  <c r="Q209" i="11"/>
  <c r="N209" i="11"/>
  <c r="S208" i="11"/>
  <c r="Q208" i="11"/>
  <c r="N208" i="11"/>
  <c r="S207" i="11"/>
  <c r="Q207" i="11"/>
  <c r="N207" i="11"/>
  <c r="S206" i="11"/>
  <c r="Q206" i="11"/>
  <c r="N206" i="11"/>
  <c r="S205" i="11"/>
  <c r="Q205" i="11"/>
  <c r="N205" i="11"/>
  <c r="S204" i="11"/>
  <c r="Q204" i="11"/>
  <c r="N204" i="11"/>
  <c r="S203" i="11"/>
  <c r="Q203" i="11"/>
  <c r="N203" i="11"/>
  <c r="S202" i="11"/>
  <c r="Q202" i="11"/>
  <c r="N202" i="11"/>
  <c r="S201" i="11"/>
  <c r="Q201" i="11"/>
  <c r="N201" i="11"/>
  <c r="S200" i="11"/>
  <c r="Q200" i="11"/>
  <c r="N200" i="11"/>
  <c r="S199" i="11"/>
  <c r="Q199" i="11"/>
  <c r="N199" i="11"/>
  <c r="S198" i="11"/>
  <c r="Q198" i="11"/>
  <c r="N198" i="11"/>
  <c r="S197" i="11"/>
  <c r="Q197" i="11"/>
  <c r="N197" i="11"/>
  <c r="S196" i="11"/>
  <c r="Q196" i="11"/>
  <c r="N196" i="11"/>
  <c r="S195" i="11"/>
  <c r="Q195" i="11"/>
  <c r="N195" i="11"/>
  <c r="S194" i="11"/>
  <c r="Q194" i="11"/>
  <c r="N194" i="11"/>
  <c r="S193" i="11"/>
  <c r="Q193" i="11"/>
  <c r="N193" i="11"/>
  <c r="S192" i="11"/>
  <c r="Q192" i="11"/>
  <c r="N192" i="11"/>
  <c r="S191" i="11"/>
  <c r="Q191" i="11"/>
  <c r="N191" i="11"/>
  <c r="S190" i="11"/>
  <c r="Q190" i="11"/>
  <c r="N190" i="11"/>
  <c r="S189" i="11"/>
  <c r="Q189" i="11"/>
  <c r="N189" i="11"/>
  <c r="S188" i="11"/>
  <c r="Q188" i="11"/>
  <c r="N188" i="11"/>
  <c r="S187" i="11"/>
  <c r="Q187" i="11"/>
  <c r="N187" i="11"/>
  <c r="S186" i="11"/>
  <c r="Q186" i="11"/>
  <c r="N186" i="11"/>
  <c r="S185" i="11"/>
  <c r="Q185" i="11"/>
  <c r="N185" i="11"/>
  <c r="S184" i="11"/>
  <c r="Q184" i="11"/>
  <c r="N184" i="11"/>
  <c r="S183" i="11"/>
  <c r="Q183" i="11"/>
  <c r="N183" i="11"/>
  <c r="S182" i="11"/>
  <c r="Q182" i="11"/>
  <c r="N182" i="11"/>
  <c r="S181" i="11"/>
  <c r="Q181" i="11"/>
  <c r="N181" i="11"/>
  <c r="S180" i="11"/>
  <c r="Q180" i="11"/>
  <c r="N180" i="11"/>
  <c r="S179" i="11"/>
  <c r="Q179" i="11"/>
  <c r="N179" i="11"/>
  <c r="S178" i="11"/>
  <c r="Q178" i="11"/>
  <c r="N178" i="11"/>
  <c r="S177" i="11"/>
  <c r="Q177" i="11"/>
  <c r="N177" i="11"/>
  <c r="S176" i="11"/>
  <c r="Q176" i="11"/>
  <c r="N176" i="11"/>
  <c r="G5" i="11"/>
  <c r="G4" i="11"/>
  <c r="G3" i="11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176" i="9"/>
  <c r="D234" i="9"/>
  <c r="D233" i="9"/>
  <c r="D235" i="9" s="1"/>
  <c r="V288" i="9"/>
  <c r="T288" i="9"/>
  <c r="R288" i="9"/>
  <c r="P288" i="9"/>
  <c r="N288" i="9"/>
  <c r="L288" i="9"/>
  <c r="J288" i="9"/>
  <c r="H288" i="9"/>
  <c r="G288" i="9"/>
  <c r="F288" i="9"/>
  <c r="E288" i="9"/>
  <c r="D288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G5" i="9"/>
  <c r="G4" i="9"/>
  <c r="G3" i="9"/>
  <c r="D106" i="8"/>
  <c r="E106" i="8"/>
  <c r="F106" i="8"/>
  <c r="G106" i="8"/>
  <c r="H106" i="8"/>
  <c r="J106" i="8"/>
  <c r="L106" i="8"/>
  <c r="N106" i="8"/>
  <c r="P106" i="8"/>
  <c r="R106" i="8"/>
  <c r="T106" i="8"/>
  <c r="V106" i="8"/>
  <c r="D75" i="8"/>
  <c r="E75" i="8"/>
  <c r="F75" i="8"/>
  <c r="G75" i="8"/>
  <c r="H75" i="8"/>
  <c r="I75" i="8"/>
  <c r="J75" i="8"/>
  <c r="K75" i="8"/>
  <c r="L75" i="8"/>
  <c r="M75" i="8"/>
  <c r="N75" i="8"/>
  <c r="N89" i="8" s="1"/>
  <c r="Z107" i="8" s="1"/>
  <c r="O75" i="8"/>
  <c r="O89" i="8" s="1"/>
  <c r="AB107" i="8" s="1"/>
  <c r="D76" i="8"/>
  <c r="E76" i="8"/>
  <c r="F76" i="8"/>
  <c r="G76" i="8"/>
  <c r="H76" i="8"/>
  <c r="I76" i="8"/>
  <c r="J76" i="8"/>
  <c r="K76" i="8"/>
  <c r="L76" i="8"/>
  <c r="M76" i="8"/>
  <c r="N76" i="8"/>
  <c r="O76" i="8"/>
  <c r="D77" i="8"/>
  <c r="E77" i="8"/>
  <c r="F77" i="8"/>
  <c r="G77" i="8"/>
  <c r="H77" i="8"/>
  <c r="I77" i="8"/>
  <c r="J77" i="8"/>
  <c r="K77" i="8"/>
  <c r="L77" i="8"/>
  <c r="M77" i="8"/>
  <c r="N77" i="8"/>
  <c r="O77" i="8"/>
  <c r="D78" i="8"/>
  <c r="E78" i="8"/>
  <c r="F78" i="8"/>
  <c r="G78" i="8"/>
  <c r="H78" i="8"/>
  <c r="I78" i="8"/>
  <c r="J78" i="8"/>
  <c r="K78" i="8"/>
  <c r="L78" i="8"/>
  <c r="M78" i="8"/>
  <c r="N78" i="8"/>
  <c r="O78" i="8"/>
  <c r="D79" i="8"/>
  <c r="E79" i="8"/>
  <c r="F79" i="8"/>
  <c r="G79" i="8"/>
  <c r="H79" i="8"/>
  <c r="I79" i="8"/>
  <c r="J79" i="8"/>
  <c r="K79" i="8"/>
  <c r="L79" i="8"/>
  <c r="M79" i="8"/>
  <c r="N79" i="8"/>
  <c r="O79" i="8"/>
  <c r="D80" i="8"/>
  <c r="E80" i="8"/>
  <c r="F80" i="8"/>
  <c r="G80" i="8"/>
  <c r="H80" i="8"/>
  <c r="I80" i="8"/>
  <c r="J80" i="8"/>
  <c r="K80" i="8"/>
  <c r="L80" i="8"/>
  <c r="M80" i="8"/>
  <c r="N80" i="8"/>
  <c r="O80" i="8"/>
  <c r="D81" i="8"/>
  <c r="E81" i="8"/>
  <c r="F81" i="8"/>
  <c r="G81" i="8"/>
  <c r="H81" i="8"/>
  <c r="I81" i="8"/>
  <c r="J81" i="8"/>
  <c r="K81" i="8"/>
  <c r="L81" i="8"/>
  <c r="M81" i="8"/>
  <c r="N81" i="8"/>
  <c r="O81" i="8"/>
  <c r="D82" i="8"/>
  <c r="E82" i="8"/>
  <c r="F82" i="8"/>
  <c r="G82" i="8"/>
  <c r="H82" i="8"/>
  <c r="I82" i="8"/>
  <c r="J82" i="8"/>
  <c r="K82" i="8"/>
  <c r="L82" i="8"/>
  <c r="M82" i="8"/>
  <c r="N82" i="8"/>
  <c r="O82" i="8"/>
  <c r="D83" i="8"/>
  <c r="E83" i="8"/>
  <c r="F83" i="8"/>
  <c r="G83" i="8"/>
  <c r="H83" i="8"/>
  <c r="I83" i="8"/>
  <c r="J83" i="8"/>
  <c r="K83" i="8"/>
  <c r="L83" i="8"/>
  <c r="M83" i="8"/>
  <c r="N83" i="8"/>
  <c r="O83" i="8"/>
  <c r="D84" i="8"/>
  <c r="E84" i="8"/>
  <c r="F84" i="8"/>
  <c r="G84" i="8"/>
  <c r="H84" i="8"/>
  <c r="I84" i="8"/>
  <c r="J84" i="8"/>
  <c r="K84" i="8"/>
  <c r="L84" i="8"/>
  <c r="M84" i="8"/>
  <c r="N84" i="8"/>
  <c r="O84" i="8"/>
  <c r="D85" i="8"/>
  <c r="E85" i="8"/>
  <c r="F85" i="8"/>
  <c r="G85" i="8"/>
  <c r="H85" i="8"/>
  <c r="I85" i="8"/>
  <c r="J85" i="8"/>
  <c r="K85" i="8"/>
  <c r="L85" i="8"/>
  <c r="M85" i="8"/>
  <c r="N85" i="8"/>
  <c r="O85" i="8"/>
  <c r="D86" i="8"/>
  <c r="E86" i="8"/>
  <c r="F86" i="8"/>
  <c r="G86" i="8"/>
  <c r="H86" i="8"/>
  <c r="I86" i="8"/>
  <c r="J86" i="8"/>
  <c r="K86" i="8"/>
  <c r="L86" i="8"/>
  <c r="M86" i="8"/>
  <c r="N86" i="8"/>
  <c r="O86" i="8"/>
  <c r="D87" i="8"/>
  <c r="E87" i="8"/>
  <c r="F87" i="8"/>
  <c r="G87" i="8"/>
  <c r="H87" i="8"/>
  <c r="I87" i="8"/>
  <c r="J87" i="8"/>
  <c r="K87" i="8"/>
  <c r="L87" i="8"/>
  <c r="M87" i="8"/>
  <c r="N87" i="8"/>
  <c r="O87" i="8"/>
  <c r="C76" i="8"/>
  <c r="C77" i="8"/>
  <c r="C78" i="8"/>
  <c r="C79" i="8"/>
  <c r="C80" i="8"/>
  <c r="C81" i="8"/>
  <c r="C82" i="8"/>
  <c r="C83" i="8"/>
  <c r="C84" i="8"/>
  <c r="C85" i="8"/>
  <c r="C86" i="8"/>
  <c r="C87" i="8"/>
  <c r="C75" i="8"/>
  <c r="D74" i="8"/>
  <c r="E74" i="8"/>
  <c r="F74" i="8"/>
  <c r="G74" i="8"/>
  <c r="H74" i="8"/>
  <c r="I74" i="8"/>
  <c r="J74" i="8"/>
  <c r="K74" i="8"/>
  <c r="L74" i="8"/>
  <c r="M74" i="8"/>
  <c r="N74" i="8"/>
  <c r="O74" i="8"/>
  <c r="C74" i="8"/>
  <c r="B76" i="8"/>
  <c r="B77" i="8"/>
  <c r="B78" i="8"/>
  <c r="B79" i="8"/>
  <c r="B80" i="8"/>
  <c r="B81" i="8"/>
  <c r="B82" i="8"/>
  <c r="B83" i="8"/>
  <c r="B84" i="8"/>
  <c r="B85" i="8"/>
  <c r="B86" i="8"/>
  <c r="B87" i="8"/>
  <c r="B75" i="8"/>
  <c r="G5" i="8"/>
  <c r="G4" i="8"/>
  <c r="G3" i="8"/>
  <c r="G4" i="7"/>
  <c r="G5" i="7"/>
  <c r="G3" i="7"/>
  <c r="I121" i="6"/>
  <c r="P120" i="6"/>
  <c r="L119" i="6"/>
  <c r="J119" i="6"/>
  <c r="I118" i="6"/>
  <c r="E118" i="6"/>
  <c r="W117" i="6"/>
  <c r="V117" i="6"/>
  <c r="R115" i="6"/>
  <c r="P115" i="6"/>
  <c r="N114" i="6"/>
  <c r="M114" i="6"/>
  <c r="L113" i="6"/>
  <c r="J113" i="6"/>
  <c r="X111" i="6"/>
  <c r="Z111" i="6" s="1"/>
  <c r="Z110" i="6"/>
  <c r="W110" i="6"/>
  <c r="W109" i="6"/>
  <c r="V109" i="6"/>
  <c r="Z108" i="6"/>
  <c r="T108" i="6"/>
  <c r="T107" i="6"/>
  <c r="R107" i="6"/>
  <c r="Z107" i="6" s="1"/>
  <c r="Z105" i="6"/>
  <c r="N105" i="6"/>
  <c r="L103" i="6"/>
  <c r="J103" i="6"/>
  <c r="I102" i="6"/>
  <c r="R96" i="6"/>
  <c r="E121" i="6" s="1"/>
  <c r="N96" i="6"/>
  <c r="J96" i="6"/>
  <c r="R95" i="6"/>
  <c r="O120" i="6" s="1"/>
  <c r="N95" i="6"/>
  <c r="J95" i="6"/>
  <c r="R120" i="6" s="1"/>
  <c r="R94" i="6"/>
  <c r="I119" i="6" s="1"/>
  <c r="Z119" i="6" s="1"/>
  <c r="N94" i="6"/>
  <c r="J94" i="6"/>
  <c r="R93" i="6"/>
  <c r="N93" i="6"/>
  <c r="J93" i="6"/>
  <c r="R92" i="6"/>
  <c r="U117" i="6" s="1"/>
  <c r="Z117" i="6" s="1"/>
  <c r="N92" i="6"/>
  <c r="J92" i="6"/>
  <c r="R91" i="6"/>
  <c r="R116" i="6" s="1"/>
  <c r="N91" i="6"/>
  <c r="J91" i="6"/>
  <c r="T116" i="6" s="1"/>
  <c r="R90" i="6"/>
  <c r="O115" i="6" s="1"/>
  <c r="Z115" i="6" s="1"/>
  <c r="N90" i="6"/>
  <c r="J90" i="6"/>
  <c r="R89" i="6"/>
  <c r="L114" i="6" s="1"/>
  <c r="Z114" i="6" s="1"/>
  <c r="N89" i="6"/>
  <c r="J89" i="6"/>
  <c r="R88" i="6"/>
  <c r="I113" i="6" s="1"/>
  <c r="Z113" i="6" s="1"/>
  <c r="N88" i="6"/>
  <c r="J88" i="6"/>
  <c r="R87" i="6"/>
  <c r="E112" i="6" s="1"/>
  <c r="N87" i="6"/>
  <c r="F112" i="6" s="1"/>
  <c r="J87" i="6"/>
  <c r="I112" i="6" s="1"/>
  <c r="R84" i="6"/>
  <c r="U109" i="6" s="1"/>
  <c r="Z109" i="6" s="1"/>
  <c r="N84" i="6"/>
  <c r="J84" i="6"/>
  <c r="R82" i="6"/>
  <c r="N82" i="6"/>
  <c r="S107" i="6" s="1"/>
  <c r="S116" i="6" s="1"/>
  <c r="J82" i="6"/>
  <c r="R81" i="6"/>
  <c r="O106" i="6" s="1"/>
  <c r="N81" i="6"/>
  <c r="P106" i="6" s="1"/>
  <c r="J81" i="6"/>
  <c r="R106" i="6" s="1"/>
  <c r="R79" i="6"/>
  <c r="L104" i="6" s="1"/>
  <c r="N79" i="6"/>
  <c r="M104" i="6" s="1"/>
  <c r="J79" i="6"/>
  <c r="N104" i="6" s="1"/>
  <c r="R78" i="6"/>
  <c r="I103" i="6" s="1"/>
  <c r="Z103" i="6" s="1"/>
  <c r="N78" i="6"/>
  <c r="J78" i="6"/>
  <c r="R77" i="6"/>
  <c r="E102" i="6" s="1"/>
  <c r="N77" i="6"/>
  <c r="F102" i="6" s="1"/>
  <c r="J77" i="6"/>
  <c r="G73" i="6"/>
  <c r="R72" i="6"/>
  <c r="O72" i="6"/>
  <c r="L72" i="6"/>
  <c r="G72" i="6"/>
  <c r="R71" i="6"/>
  <c r="O71" i="6"/>
  <c r="L71" i="6"/>
  <c r="G71" i="6"/>
  <c r="R70" i="6"/>
  <c r="O70" i="6"/>
  <c r="L70" i="6"/>
  <c r="G70" i="6"/>
  <c r="R69" i="6"/>
  <c r="O69" i="6"/>
  <c r="L69" i="6"/>
  <c r="G69" i="6"/>
  <c r="R68" i="6"/>
  <c r="O68" i="6"/>
  <c r="L68" i="6"/>
  <c r="G68" i="6"/>
  <c r="R67" i="6"/>
  <c r="O67" i="6"/>
  <c r="L67" i="6"/>
  <c r="G67" i="6"/>
  <c r="R66" i="6"/>
  <c r="O66" i="6"/>
  <c r="L66" i="6"/>
  <c r="G66" i="6"/>
  <c r="R65" i="6"/>
  <c r="O65" i="6"/>
  <c r="L65" i="6"/>
  <c r="G65" i="6"/>
  <c r="R64" i="6"/>
  <c r="O64" i="6"/>
  <c r="L64" i="6"/>
  <c r="G64" i="6"/>
  <c r="R63" i="6"/>
  <c r="O63" i="6"/>
  <c r="L63" i="6"/>
  <c r="G63" i="6"/>
  <c r="R62" i="6"/>
  <c r="O62" i="6"/>
  <c r="L62" i="6"/>
  <c r="G62" i="6"/>
  <c r="R61" i="6"/>
  <c r="O61" i="6"/>
  <c r="L61" i="6"/>
  <c r="G61" i="6"/>
  <c r="R60" i="6"/>
  <c r="O60" i="6"/>
  <c r="L60" i="6"/>
  <c r="G60" i="6"/>
  <c r="R59" i="6"/>
  <c r="O59" i="6"/>
  <c r="L59" i="6"/>
  <c r="G59" i="6"/>
  <c r="R58" i="6"/>
  <c r="O58" i="6"/>
  <c r="L58" i="6"/>
  <c r="G58" i="6"/>
  <c r="R57" i="6"/>
  <c r="O57" i="6"/>
  <c r="L57" i="6"/>
  <c r="G57" i="6"/>
  <c r="R56" i="6"/>
  <c r="O56" i="6"/>
  <c r="L56" i="6"/>
  <c r="G56" i="6"/>
  <c r="R55" i="6"/>
  <c r="O55" i="6"/>
  <c r="L55" i="6"/>
  <c r="G55" i="6"/>
  <c r="R54" i="6"/>
  <c r="O54" i="6"/>
  <c r="L54" i="6"/>
  <c r="G54" i="6"/>
  <c r="F49" i="6"/>
  <c r="S48" i="6"/>
  <c r="T48" i="6" s="1"/>
  <c r="L48" i="6"/>
  <c r="M48" i="6" s="1"/>
  <c r="F48" i="6"/>
  <c r="E48" i="6"/>
  <c r="T47" i="6"/>
  <c r="S47" i="6"/>
  <c r="L47" i="6"/>
  <c r="M47" i="6" s="1"/>
  <c r="E47" i="6"/>
  <c r="F47" i="6" s="1"/>
  <c r="S46" i="6"/>
  <c r="T46" i="6" s="1"/>
  <c r="L46" i="6"/>
  <c r="M46" i="6" s="1"/>
  <c r="F46" i="6"/>
  <c r="E46" i="6"/>
  <c r="T45" i="6"/>
  <c r="S45" i="6"/>
  <c r="L45" i="6"/>
  <c r="M45" i="6" s="1"/>
  <c r="E45" i="6"/>
  <c r="F45" i="6" s="1"/>
  <c r="S44" i="6"/>
  <c r="T44" i="6" s="1"/>
  <c r="L44" i="6"/>
  <c r="M44" i="6" s="1"/>
  <c r="F44" i="6"/>
  <c r="E44" i="6"/>
  <c r="T43" i="6"/>
  <c r="S43" i="6"/>
  <c r="L43" i="6"/>
  <c r="M43" i="6" s="1"/>
  <c r="E43" i="6"/>
  <c r="F43" i="6" s="1"/>
  <c r="S42" i="6"/>
  <c r="T42" i="6" s="1"/>
  <c r="L42" i="6"/>
  <c r="M42" i="6" s="1"/>
  <c r="F42" i="6"/>
  <c r="E42" i="6"/>
  <c r="T41" i="6"/>
  <c r="S41" i="6"/>
  <c r="L41" i="6"/>
  <c r="M41" i="6" s="1"/>
  <c r="E41" i="6"/>
  <c r="F41" i="6" s="1"/>
  <c r="S40" i="6"/>
  <c r="T40" i="6" s="1"/>
  <c r="L40" i="6"/>
  <c r="M40" i="6" s="1"/>
  <c r="F40" i="6"/>
  <c r="E40" i="6"/>
  <c r="T39" i="6"/>
  <c r="S39" i="6"/>
  <c r="L39" i="6"/>
  <c r="M39" i="6" s="1"/>
  <c r="E39" i="6"/>
  <c r="F39" i="6" s="1"/>
  <c r="S38" i="6"/>
  <c r="T38" i="6" s="1"/>
  <c r="L38" i="6"/>
  <c r="M38" i="6" s="1"/>
  <c r="F38" i="6"/>
  <c r="E38" i="6"/>
  <c r="T37" i="6"/>
  <c r="S37" i="6"/>
  <c r="L37" i="6"/>
  <c r="M37" i="6" s="1"/>
  <c r="E37" i="6"/>
  <c r="F37" i="6" s="1"/>
  <c r="S36" i="6"/>
  <c r="T36" i="6" s="1"/>
  <c r="L36" i="6"/>
  <c r="M36" i="6" s="1"/>
  <c r="F36" i="6"/>
  <c r="E36" i="6"/>
  <c r="T35" i="6"/>
  <c r="S35" i="6"/>
  <c r="L35" i="6"/>
  <c r="M35" i="6" s="1"/>
  <c r="E35" i="6"/>
  <c r="F35" i="6" s="1"/>
  <c r="S34" i="6"/>
  <c r="T34" i="6" s="1"/>
  <c r="L34" i="6"/>
  <c r="M34" i="6" s="1"/>
  <c r="F34" i="6"/>
  <c r="E34" i="6"/>
  <c r="T33" i="6"/>
  <c r="S33" i="6"/>
  <c r="L33" i="6"/>
  <c r="M33" i="6" s="1"/>
  <c r="E33" i="6"/>
  <c r="F33" i="6" s="1"/>
  <c r="S32" i="6"/>
  <c r="T32" i="6" s="1"/>
  <c r="L32" i="6"/>
  <c r="M32" i="6" s="1"/>
  <c r="F32" i="6"/>
  <c r="E32" i="6"/>
  <c r="T31" i="6"/>
  <c r="S31" i="6"/>
  <c r="L31" i="6"/>
  <c r="M31" i="6" s="1"/>
  <c r="E31" i="6"/>
  <c r="F31" i="6" s="1"/>
  <c r="S30" i="6"/>
  <c r="T30" i="6" s="1"/>
  <c r="L30" i="6"/>
  <c r="M30" i="6" s="1"/>
  <c r="F30" i="6"/>
  <c r="E30" i="6"/>
  <c r="T29" i="6"/>
  <c r="S29" i="6"/>
  <c r="L29" i="6"/>
  <c r="M29" i="6" s="1"/>
  <c r="E29" i="6"/>
  <c r="F29" i="6" s="1"/>
  <c r="S28" i="6"/>
  <c r="T28" i="6" s="1"/>
  <c r="L28" i="6"/>
  <c r="M28" i="6" s="1"/>
  <c r="F28" i="6"/>
  <c r="E13" i="6"/>
  <c r="E11" i="6"/>
  <c r="R88" i="4"/>
  <c r="R89" i="4"/>
  <c r="L114" i="4" s="1"/>
  <c r="R90" i="4"/>
  <c r="O115" i="4" s="1"/>
  <c r="R91" i="4"/>
  <c r="R92" i="4"/>
  <c r="U117" i="4" s="1"/>
  <c r="R93" i="4"/>
  <c r="E118" i="4" s="1"/>
  <c r="R94" i="4"/>
  <c r="I119" i="4" s="1"/>
  <c r="R95" i="4"/>
  <c r="O120" i="4" s="1"/>
  <c r="R96" i="4"/>
  <c r="E121" i="4" s="1"/>
  <c r="R87" i="4"/>
  <c r="E112" i="4" s="1"/>
  <c r="R84" i="4"/>
  <c r="U109" i="4" s="1"/>
  <c r="R82" i="4"/>
  <c r="R107" i="4" s="1"/>
  <c r="R81" i="4"/>
  <c r="R78" i="4"/>
  <c r="R79" i="4"/>
  <c r="L104" i="4" s="1"/>
  <c r="R77" i="4"/>
  <c r="E102" i="4" s="1"/>
  <c r="N88" i="4"/>
  <c r="J113" i="4" s="1"/>
  <c r="N89" i="4"/>
  <c r="M114" i="4" s="1"/>
  <c r="N90" i="4"/>
  <c r="P115" i="4" s="1"/>
  <c r="N91" i="4"/>
  <c r="N92" i="4"/>
  <c r="N93" i="4"/>
  <c r="N94" i="4"/>
  <c r="J119" i="4" s="1"/>
  <c r="N95" i="4"/>
  <c r="P120" i="4" s="1"/>
  <c r="N96" i="4"/>
  <c r="N87" i="4"/>
  <c r="N82" i="4"/>
  <c r="S107" i="4" s="1"/>
  <c r="N84" i="4"/>
  <c r="N81" i="4"/>
  <c r="P106" i="4" s="1"/>
  <c r="N78" i="4"/>
  <c r="J103" i="4" s="1"/>
  <c r="N79" i="4"/>
  <c r="M104" i="4" s="1"/>
  <c r="N77" i="4"/>
  <c r="F102" i="4" s="1"/>
  <c r="J88" i="4"/>
  <c r="J89" i="4"/>
  <c r="N114" i="4" s="1"/>
  <c r="J90" i="4"/>
  <c r="R115" i="4" s="1"/>
  <c r="J91" i="4"/>
  <c r="T116" i="4" s="1"/>
  <c r="J92" i="4"/>
  <c r="J93" i="4"/>
  <c r="I118" i="4" s="1"/>
  <c r="J94" i="4"/>
  <c r="L119" i="4" s="1"/>
  <c r="J95" i="4"/>
  <c r="R120" i="4" s="1"/>
  <c r="J96" i="4"/>
  <c r="I121" i="4" s="1"/>
  <c r="J87" i="4"/>
  <c r="J84" i="4"/>
  <c r="W109" i="4" s="1"/>
  <c r="J82" i="4"/>
  <c r="J81" i="4"/>
  <c r="R106" i="4" s="1"/>
  <c r="J78" i="4"/>
  <c r="L103" i="4" s="1"/>
  <c r="J79" i="4"/>
  <c r="N104" i="4" s="1"/>
  <c r="J77" i="4"/>
  <c r="I102" i="4" s="1"/>
  <c r="E13" i="4"/>
  <c r="E11" i="4"/>
  <c r="R116" i="4"/>
  <c r="I113" i="4"/>
  <c r="I103" i="4"/>
  <c r="O106" i="4"/>
  <c r="F112" i="4"/>
  <c r="F121" i="4" s="1"/>
  <c r="V109" i="4"/>
  <c r="V117" i="4" s="1"/>
  <c r="X111" i="4"/>
  <c r="Z111" i="4" s="1"/>
  <c r="W110" i="4"/>
  <c r="Z110" i="4" s="1"/>
  <c r="T108" i="4"/>
  <c r="Z108" i="4" s="1"/>
  <c r="N105" i="4"/>
  <c r="Z105" i="4" s="1"/>
  <c r="W117" i="4"/>
  <c r="L113" i="4"/>
  <c r="I112" i="4"/>
  <c r="T107" i="4"/>
  <c r="C8" i="5"/>
  <c r="C7" i="5"/>
  <c r="C5" i="5"/>
  <c r="C6" i="5"/>
  <c r="G73" i="4"/>
  <c r="R72" i="4"/>
  <c r="O72" i="4"/>
  <c r="L72" i="4"/>
  <c r="G72" i="4"/>
  <c r="R71" i="4"/>
  <c r="O71" i="4"/>
  <c r="L71" i="4"/>
  <c r="G71" i="4"/>
  <c r="R70" i="4"/>
  <c r="O70" i="4"/>
  <c r="L70" i="4"/>
  <c r="G70" i="4"/>
  <c r="R69" i="4"/>
  <c r="O69" i="4"/>
  <c r="L69" i="4"/>
  <c r="G69" i="4"/>
  <c r="R68" i="4"/>
  <c r="O68" i="4"/>
  <c r="L68" i="4"/>
  <c r="G68" i="4"/>
  <c r="R67" i="4"/>
  <c r="O67" i="4"/>
  <c r="L67" i="4"/>
  <c r="G67" i="4"/>
  <c r="R66" i="4"/>
  <c r="O66" i="4"/>
  <c r="L66" i="4"/>
  <c r="G66" i="4"/>
  <c r="R65" i="4"/>
  <c r="O65" i="4"/>
  <c r="L65" i="4"/>
  <c r="G65" i="4"/>
  <c r="R64" i="4"/>
  <c r="O64" i="4"/>
  <c r="L64" i="4"/>
  <c r="G64" i="4"/>
  <c r="R63" i="4"/>
  <c r="O63" i="4"/>
  <c r="L63" i="4"/>
  <c r="G63" i="4"/>
  <c r="R62" i="4"/>
  <c r="O62" i="4"/>
  <c r="L62" i="4"/>
  <c r="G62" i="4"/>
  <c r="R61" i="4"/>
  <c r="O61" i="4"/>
  <c r="L61" i="4"/>
  <c r="G61" i="4"/>
  <c r="R60" i="4"/>
  <c r="O60" i="4"/>
  <c r="L60" i="4"/>
  <c r="G60" i="4"/>
  <c r="R59" i="4"/>
  <c r="O59" i="4"/>
  <c r="L59" i="4"/>
  <c r="G59" i="4"/>
  <c r="R58" i="4"/>
  <c r="O58" i="4"/>
  <c r="L58" i="4"/>
  <c r="G58" i="4"/>
  <c r="R57" i="4"/>
  <c r="O57" i="4"/>
  <c r="L57" i="4"/>
  <c r="G57" i="4"/>
  <c r="R56" i="4"/>
  <c r="O56" i="4"/>
  <c r="L56" i="4"/>
  <c r="G56" i="4"/>
  <c r="R55" i="4"/>
  <c r="O55" i="4"/>
  <c r="L55" i="4"/>
  <c r="G55" i="4"/>
  <c r="R54" i="4"/>
  <c r="O54" i="4"/>
  <c r="L54" i="4"/>
  <c r="G54" i="4"/>
  <c r="F49" i="4"/>
  <c r="S48" i="4"/>
  <c r="T48" i="4" s="1"/>
  <c r="L48" i="4"/>
  <c r="M48" i="4" s="1"/>
  <c r="E48" i="4"/>
  <c r="F48" i="4" s="1"/>
  <c r="S47" i="4"/>
  <c r="T47" i="4" s="1"/>
  <c r="L47" i="4"/>
  <c r="M47" i="4" s="1"/>
  <c r="E47" i="4"/>
  <c r="F47" i="4" s="1"/>
  <c r="S46" i="4"/>
  <c r="T46" i="4" s="1"/>
  <c r="L46" i="4"/>
  <c r="M46" i="4" s="1"/>
  <c r="E46" i="4"/>
  <c r="F46" i="4" s="1"/>
  <c r="S45" i="4"/>
  <c r="T45" i="4" s="1"/>
  <c r="L45" i="4"/>
  <c r="M45" i="4" s="1"/>
  <c r="E45" i="4"/>
  <c r="F45" i="4" s="1"/>
  <c r="S44" i="4"/>
  <c r="T44" i="4" s="1"/>
  <c r="L44" i="4"/>
  <c r="M44" i="4" s="1"/>
  <c r="E44" i="4"/>
  <c r="F44" i="4" s="1"/>
  <c r="S43" i="4"/>
  <c r="T43" i="4" s="1"/>
  <c r="L43" i="4"/>
  <c r="M43" i="4" s="1"/>
  <c r="E43" i="4"/>
  <c r="F43" i="4" s="1"/>
  <c r="S42" i="4"/>
  <c r="T42" i="4" s="1"/>
  <c r="L42" i="4"/>
  <c r="M42" i="4" s="1"/>
  <c r="E42" i="4"/>
  <c r="F42" i="4" s="1"/>
  <c r="S41" i="4"/>
  <c r="T41" i="4" s="1"/>
  <c r="L41" i="4"/>
  <c r="M41" i="4" s="1"/>
  <c r="E41" i="4"/>
  <c r="F41" i="4" s="1"/>
  <c r="S40" i="4"/>
  <c r="T40" i="4" s="1"/>
  <c r="L40" i="4"/>
  <c r="M40" i="4" s="1"/>
  <c r="E40" i="4"/>
  <c r="F40" i="4" s="1"/>
  <c r="S39" i="4"/>
  <c r="T39" i="4" s="1"/>
  <c r="L39" i="4"/>
  <c r="M39" i="4" s="1"/>
  <c r="E39" i="4"/>
  <c r="F39" i="4" s="1"/>
  <c r="S38" i="4"/>
  <c r="T38" i="4" s="1"/>
  <c r="L38" i="4"/>
  <c r="M38" i="4" s="1"/>
  <c r="E38" i="4"/>
  <c r="F38" i="4" s="1"/>
  <c r="S37" i="4"/>
  <c r="T37" i="4" s="1"/>
  <c r="L37" i="4"/>
  <c r="M37" i="4" s="1"/>
  <c r="E37" i="4"/>
  <c r="F37" i="4" s="1"/>
  <c r="S36" i="4"/>
  <c r="T36" i="4" s="1"/>
  <c r="L36" i="4"/>
  <c r="M36" i="4" s="1"/>
  <c r="E36" i="4"/>
  <c r="F36" i="4" s="1"/>
  <c r="S35" i="4"/>
  <c r="T35" i="4" s="1"/>
  <c r="L35" i="4"/>
  <c r="M35" i="4" s="1"/>
  <c r="E35" i="4"/>
  <c r="F35" i="4" s="1"/>
  <c r="S34" i="4"/>
  <c r="T34" i="4" s="1"/>
  <c r="L34" i="4"/>
  <c r="M34" i="4" s="1"/>
  <c r="E34" i="4"/>
  <c r="F34" i="4" s="1"/>
  <c r="S33" i="4"/>
  <c r="T33" i="4" s="1"/>
  <c r="L33" i="4"/>
  <c r="M33" i="4" s="1"/>
  <c r="E33" i="4"/>
  <c r="F33" i="4" s="1"/>
  <c r="S32" i="4"/>
  <c r="T32" i="4" s="1"/>
  <c r="L32" i="4"/>
  <c r="M32" i="4" s="1"/>
  <c r="E32" i="4"/>
  <c r="F32" i="4" s="1"/>
  <c r="S31" i="4"/>
  <c r="T31" i="4" s="1"/>
  <c r="L31" i="4"/>
  <c r="M31" i="4" s="1"/>
  <c r="E31" i="4"/>
  <c r="F31" i="4" s="1"/>
  <c r="S30" i="4"/>
  <c r="T30" i="4" s="1"/>
  <c r="L30" i="4"/>
  <c r="M30" i="4" s="1"/>
  <c r="E30" i="4"/>
  <c r="F30" i="4" s="1"/>
  <c r="S29" i="4"/>
  <c r="T29" i="4" s="1"/>
  <c r="L29" i="4"/>
  <c r="M29" i="4" s="1"/>
  <c r="E29" i="4"/>
  <c r="F29" i="4" s="1"/>
  <c r="S28" i="4"/>
  <c r="T28" i="4" s="1"/>
  <c r="L28" i="4"/>
  <c r="M28" i="4" s="1"/>
  <c r="F28" i="4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89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Z89" i="3"/>
  <c r="A92" i="3"/>
  <c r="A93" i="3"/>
  <c r="A94" i="3"/>
  <c r="A95" i="3"/>
  <c r="A96" i="3"/>
  <c r="A97" i="3"/>
  <c r="A98" i="3"/>
  <c r="A99" i="3"/>
  <c r="A100" i="3"/>
  <c r="A101" i="3"/>
  <c r="A104" i="3"/>
  <c r="A105" i="3"/>
  <c r="A106" i="3"/>
  <c r="A107" i="3"/>
  <c r="N85" i="3"/>
  <c r="A108" i="3" s="1"/>
  <c r="N66" i="3"/>
  <c r="A89" i="3" s="1"/>
  <c r="L67" i="3"/>
  <c r="N67" i="3" s="1"/>
  <c r="A90" i="3" s="1"/>
  <c r="L68" i="3"/>
  <c r="N68" i="3" s="1"/>
  <c r="A91" i="3" s="1"/>
  <c r="L69" i="3"/>
  <c r="N69" i="3" s="1"/>
  <c r="L70" i="3"/>
  <c r="N70" i="3" s="1"/>
  <c r="L71" i="3"/>
  <c r="N71" i="3" s="1"/>
  <c r="L72" i="3"/>
  <c r="N72" i="3" s="1"/>
  <c r="L73" i="3"/>
  <c r="N73" i="3" s="1"/>
  <c r="L74" i="3"/>
  <c r="N74" i="3" s="1"/>
  <c r="L75" i="3"/>
  <c r="N75" i="3" s="1"/>
  <c r="L76" i="3"/>
  <c r="N76" i="3" s="1"/>
  <c r="L77" i="3"/>
  <c r="N77" i="3" s="1"/>
  <c r="L78" i="3"/>
  <c r="N78" i="3" s="1"/>
  <c r="L79" i="3"/>
  <c r="N79" i="3" s="1"/>
  <c r="A102" i="3" s="1"/>
  <c r="L80" i="3"/>
  <c r="N80" i="3" s="1"/>
  <c r="A103" i="3" s="1"/>
  <c r="L81" i="3"/>
  <c r="N81" i="3" s="1"/>
  <c r="L82" i="3"/>
  <c r="N82" i="3" s="1"/>
  <c r="L83" i="3"/>
  <c r="N83" i="3" s="1"/>
  <c r="L84" i="3"/>
  <c r="N84" i="3" s="1"/>
  <c r="L85" i="3"/>
  <c r="L66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43" i="3"/>
  <c r="R45" i="3"/>
  <c r="L50" i="3"/>
  <c r="F38" i="3"/>
  <c r="R52" i="3"/>
  <c r="R43" i="3"/>
  <c r="R47" i="3"/>
  <c r="R49" i="3"/>
  <c r="R55" i="3"/>
  <c r="R53" i="3"/>
  <c r="R56" i="3"/>
  <c r="R57" i="3"/>
  <c r="R58" i="3"/>
  <c r="R50" i="3"/>
  <c r="R59" i="3"/>
  <c r="R44" i="3"/>
  <c r="R48" i="3"/>
  <c r="R60" i="3"/>
  <c r="R54" i="3"/>
  <c r="R51" i="3"/>
  <c r="R61" i="3"/>
  <c r="R46" i="3"/>
  <c r="O55" i="3"/>
  <c r="O47" i="3"/>
  <c r="O51" i="3"/>
  <c r="O52" i="3"/>
  <c r="O58" i="3"/>
  <c r="O56" i="3"/>
  <c r="O59" i="3"/>
  <c r="O44" i="3"/>
  <c r="O60" i="3"/>
  <c r="O53" i="3"/>
  <c r="O61" i="3"/>
  <c r="O48" i="3"/>
  <c r="O54" i="3"/>
  <c r="O45" i="3"/>
  <c r="O57" i="3"/>
  <c r="O43" i="3"/>
  <c r="O46" i="3"/>
  <c r="O49" i="3"/>
  <c r="O50" i="3"/>
  <c r="L47" i="3"/>
  <c r="L51" i="3"/>
  <c r="L53" i="3"/>
  <c r="L58" i="3"/>
  <c r="L55" i="3"/>
  <c r="L59" i="3"/>
  <c r="L44" i="3"/>
  <c r="L60" i="3"/>
  <c r="L54" i="3"/>
  <c r="L61" i="3"/>
  <c r="L48" i="3"/>
  <c r="L52" i="3"/>
  <c r="L45" i="3"/>
  <c r="L56" i="3"/>
  <c r="L43" i="3"/>
  <c r="L46" i="3"/>
  <c r="L49" i="3"/>
  <c r="L57" i="3"/>
  <c r="L17" i="3"/>
  <c r="M17" i="3" s="1"/>
  <c r="S17" i="3"/>
  <c r="T17" i="3" s="1"/>
  <c r="F17" i="3"/>
  <c r="E18" i="3"/>
  <c r="F1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28" i="3"/>
  <c r="F2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L22" i="2"/>
  <c r="L21" i="2"/>
  <c r="L20" i="2"/>
  <c r="L19" i="2"/>
  <c r="L18" i="2"/>
  <c r="L17" i="2"/>
  <c r="L16" i="2"/>
  <c r="L15" i="2"/>
  <c r="Y33" i="1"/>
  <c r="Y32" i="1"/>
  <c r="Y31" i="1"/>
  <c r="Y30" i="1"/>
  <c r="Y29" i="1"/>
  <c r="Y28" i="1"/>
  <c r="Y27" i="1"/>
  <c r="Y26" i="1"/>
  <c r="L27" i="1"/>
  <c r="L28" i="1"/>
  <c r="L29" i="1"/>
  <c r="L30" i="1"/>
  <c r="L31" i="1"/>
  <c r="L32" i="1"/>
  <c r="L33" i="1"/>
  <c r="L26" i="1"/>
  <c r="L289" i="11" l="1"/>
  <c r="N289" i="11"/>
  <c r="P289" i="11"/>
  <c r="F289" i="11"/>
  <c r="H289" i="11"/>
  <c r="V289" i="11"/>
  <c r="Q257" i="11"/>
  <c r="G271" i="9"/>
  <c r="L289" i="9" s="1"/>
  <c r="J271" i="9"/>
  <c r="R289" i="9" s="1"/>
  <c r="K271" i="9"/>
  <c r="T289" i="9" s="1"/>
  <c r="F271" i="9"/>
  <c r="J289" i="9" s="1"/>
  <c r="Q259" i="9"/>
  <c r="Q265" i="9"/>
  <c r="H271" i="9"/>
  <c r="N289" i="9" s="1"/>
  <c r="I271" i="9"/>
  <c r="P289" i="9" s="1"/>
  <c r="Q260" i="9"/>
  <c r="Q266" i="9"/>
  <c r="Q261" i="9"/>
  <c r="Q267" i="9"/>
  <c r="L271" i="9"/>
  <c r="V289" i="9" s="1"/>
  <c r="M271" i="9"/>
  <c r="X289" i="9" s="1"/>
  <c r="Q262" i="9"/>
  <c r="Q268" i="9"/>
  <c r="N271" i="9"/>
  <c r="Z289" i="9" s="1"/>
  <c r="Q257" i="9"/>
  <c r="O271" i="9"/>
  <c r="AB289" i="9" s="1"/>
  <c r="Q263" i="9"/>
  <c r="Q269" i="9"/>
  <c r="D271" i="9"/>
  <c r="F289" i="9" s="1"/>
  <c r="E271" i="9"/>
  <c r="H289" i="9" s="1"/>
  <c r="Q258" i="9"/>
  <c r="Q264" i="9"/>
  <c r="C271" i="9"/>
  <c r="D289" i="9" s="1"/>
  <c r="L89" i="8"/>
  <c r="V107" i="8" s="1"/>
  <c r="K89" i="8"/>
  <c r="J89" i="8"/>
  <c r="I89" i="8"/>
  <c r="P107" i="8" s="1"/>
  <c r="H89" i="8"/>
  <c r="N107" i="8" s="1"/>
  <c r="G89" i="8"/>
  <c r="L107" i="8" s="1"/>
  <c r="F89" i="8"/>
  <c r="J107" i="8" s="1"/>
  <c r="E89" i="8"/>
  <c r="H107" i="8" s="1"/>
  <c r="C89" i="8"/>
  <c r="D107" i="8" s="1"/>
  <c r="M89" i="8"/>
  <c r="X107" i="8" s="1"/>
  <c r="T107" i="8"/>
  <c r="R107" i="8"/>
  <c r="D89" i="8"/>
  <c r="F107" i="8" s="1"/>
  <c r="Q87" i="8"/>
  <c r="Q86" i="8"/>
  <c r="Q83" i="8"/>
  <c r="Q81" i="8"/>
  <c r="Q84" i="8"/>
  <c r="Q79" i="8"/>
  <c r="Q77" i="8"/>
  <c r="Q78" i="8"/>
  <c r="Q85" i="8"/>
  <c r="Q82" i="8"/>
  <c r="Q80" i="8"/>
  <c r="Q76" i="8"/>
  <c r="Q75" i="8"/>
  <c r="F121" i="6"/>
  <c r="F118" i="6"/>
  <c r="Z112" i="6"/>
  <c r="Z104" i="6"/>
  <c r="Z116" i="6"/>
  <c r="Z106" i="6"/>
  <c r="Z102" i="6"/>
  <c r="Z120" i="6"/>
  <c r="Z118" i="6"/>
  <c r="Z121" i="6"/>
  <c r="Z120" i="4"/>
  <c r="Z112" i="4"/>
  <c r="Z115" i="4"/>
  <c r="Z103" i="4"/>
  <c r="Z114" i="4"/>
  <c r="Z121" i="4"/>
  <c r="Z113" i="4"/>
  <c r="Z109" i="4"/>
  <c r="F118" i="4"/>
  <c r="Z118" i="4" s="1"/>
  <c r="Z106" i="4"/>
  <c r="Z117" i="4"/>
  <c r="Z104" i="4"/>
  <c r="Z107" i="4"/>
  <c r="Z119" i="4"/>
  <c r="Z102" i="4"/>
  <c r="S116" i="4"/>
  <c r="Z116" i="4" s="1"/>
  <c r="V2" i="1"/>
  <c r="V1" i="1"/>
</calcChain>
</file>

<file path=xl/sharedStrings.xml><?xml version="1.0" encoding="utf-8"?>
<sst xmlns="http://schemas.openxmlformats.org/spreadsheetml/2006/main" count="3774" uniqueCount="298">
  <si>
    <t>Type</t>
  </si>
  <si>
    <t>e190</t>
  </si>
  <si>
    <t>beats</t>
  </si>
  <si>
    <t>beat:</t>
  </si>
  <si>
    <t>min</t>
  </si>
  <si>
    <t>J(</t>
  </si>
  <si>
    <t>0:3,3)</t>
  </si>
  <si>
    <t>=</t>
  </si>
  <si>
    <t>_</t>
  </si>
  <si>
    <t>0:4,4)</t>
  </si>
  <si>
    <t>J(0:3,3)</t>
  </si>
  <si>
    <t>:</t>
  </si>
  <si>
    <t>States</t>
  </si>
  <si>
    <r>
      <rPr>
        <b/>
        <sz val="11"/>
        <color theme="1"/>
        <rFont val="Calibri"/>
        <family val="2"/>
        <scheme val="minor"/>
      </rPr>
      <t>Non uniform</t>
    </r>
    <r>
      <rPr>
        <sz val="11"/>
        <color theme="1"/>
        <rFont val="Calibri"/>
        <family val="2"/>
        <scheme val="minor"/>
      </rPr>
      <t xml:space="preserve"> stationary distribution</t>
    </r>
  </si>
  <si>
    <t xml:space="preserve">Should result in a </t>
  </si>
  <si>
    <t>000</t>
  </si>
  <si>
    <t>Geometric</t>
  </si>
  <si>
    <t>then its memoryless</t>
  </si>
  <si>
    <t>(no count)</t>
  </si>
  <si>
    <t>diff. completion times</t>
  </si>
  <si>
    <t>can the burden of the system be measured in "time"?</t>
  </si>
  <si>
    <t>arrive costs vs. holding costs</t>
  </si>
  <si>
    <t>is a busy bay equally expensive regardless of the plane in it?</t>
  </si>
  <si>
    <t>?</t>
  </si>
  <si>
    <t>010</t>
  </si>
  <si>
    <t>003</t>
  </si>
  <si>
    <t>001</t>
  </si>
  <si>
    <t>011</t>
  </si>
  <si>
    <t>NA</t>
  </si>
  <si>
    <t>p</t>
  </si>
  <si>
    <t>Sum</t>
  </si>
  <si>
    <t>w/o multiplex</t>
  </si>
  <si>
    <t>w/ multiplex</t>
  </si>
  <si>
    <t>W/o multiplex:</t>
  </si>
  <si>
    <t>Part A:</t>
  </si>
  <si>
    <t>W/ multiplex:</t>
  </si>
  <si>
    <t>Part B:</t>
  </si>
  <si>
    <t>020</t>
  </si>
  <si>
    <t>Restriction:</t>
  </si>
  <si>
    <t>only h bays being serviced at the same time</t>
  </si>
  <si>
    <t>-</t>
  </si>
  <si>
    <t>a</t>
  </si>
  <si>
    <t>b</t>
  </si>
  <si>
    <t>c</t>
  </si>
  <si>
    <t>a+b+c</t>
  </si>
  <si>
    <t>State</t>
  </si>
  <si>
    <t>030</t>
  </si>
  <si>
    <t>002</t>
  </si>
  <si>
    <t>021</t>
  </si>
  <si>
    <t>012</t>
  </si>
  <si>
    <t>Combinations-"finder":</t>
  </si>
  <si>
    <t>Inc.?</t>
  </si>
  <si>
    <t>col</t>
  </si>
  <si>
    <t>nr</t>
  </si>
  <si>
    <t>AV</t>
  </si>
  <si>
    <t>Accepted value</t>
  </si>
  <si>
    <t>NF</t>
  </si>
  <si>
    <t>Not Found</t>
  </si>
  <si>
    <t>Stat</t>
  </si>
  <si>
    <t>count</t>
  </si>
  <si>
    <t>From/ To</t>
  </si>
  <si>
    <t>N/arriv.</t>
  </si>
  <si>
    <t>state/beat</t>
  </si>
  <si>
    <t>Non-arrival</t>
  </si>
  <si>
    <t>p_e190</t>
  </si>
  <si>
    <t>p_737</t>
  </si>
  <si>
    <t>p_non-arrival</t>
  </si>
  <si>
    <t>5 - 9 9 - 12 12 - 16 16 - 20 20 - 24</t>
  </si>
  <si>
    <t>Nr</t>
  </si>
  <si>
    <t>From</t>
  </si>
  <si>
    <t>To</t>
  </si>
  <si>
    <t>1. Keep arrival rate detailed per day (as a summary)</t>
  </si>
  <si>
    <t>2. Build block per hour gaps (model)</t>
  </si>
  <si>
    <t>To State</t>
  </si>
  <si>
    <t>From State</t>
  </si>
  <si>
    <t>minutes</t>
  </si>
  <si>
    <t>first arrival:</t>
  </si>
  <si>
    <t>last arrival:</t>
  </si>
  <si>
    <t>"Day time":</t>
  </si>
  <si>
    <t>Beats per day time:</t>
  </si>
  <si>
    <t>1 hour:</t>
  </si>
  <si>
    <t>-&gt;</t>
  </si>
  <si>
    <t>hours</t>
  </si>
  <si>
    <t xml:space="preserve">Until </t>
  </si>
  <si>
    <t>3. Polish plane categorisation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</si>
  <si>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</si>
  <si>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</si>
  <si>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</si>
  <si>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</si>
  <si>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</si>
  <si>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</si>
  <si>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</si>
  <si>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</si>
  <si>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State 9</t>
  </si>
  <si>
    <t>State 10</t>
  </si>
  <si>
    <t>State 11</t>
  </si>
  <si>
    <t>State 12</t>
  </si>
  <si>
    <t>State 13</t>
  </si>
  <si>
    <t>State 14</t>
  </si>
  <si>
    <t>State 15</t>
  </si>
  <si>
    <t>State 16</t>
  </si>
  <si>
    <t>State 17</t>
  </si>
  <si>
    <t>State 18</t>
  </si>
  <si>
    <t>State 19</t>
  </si>
  <si>
    <t>State 20</t>
  </si>
  <si>
    <t>:corrections</t>
  </si>
  <si>
    <t>S</t>
  </si>
  <si>
    <t>L</t>
  </si>
  <si>
    <t>N</t>
  </si>
  <si>
    <t>100</t>
  </si>
  <si>
    <t>101</t>
  </si>
  <si>
    <t>110</t>
  </si>
  <si>
    <t>200</t>
  </si>
  <si>
    <t>201</t>
  </si>
  <si>
    <t>210</t>
  </si>
  <si>
    <t>111</t>
  </si>
  <si>
    <t>120</t>
  </si>
  <si>
    <t>NOT REACHEABLE</t>
  </si>
  <si>
    <t>REACHABLE</t>
  </si>
  <si>
    <t>Condition</t>
  </si>
  <si>
    <t>Summary:</t>
  </si>
  <si>
    <t>p_s</t>
  </si>
  <si>
    <t>p_l</t>
  </si>
  <si>
    <t>p_n</t>
  </si>
  <si>
    <t>type plane</t>
  </si>
  <si>
    <t>prob</t>
  </si>
  <si>
    <t>in %</t>
  </si>
  <si>
    <t>Type of plane</t>
  </si>
  <si>
    <t>Caterg.</t>
  </si>
  <si>
    <t>Beat repr.</t>
  </si>
  <si>
    <t>CASE: "only 1 arrival per beat"</t>
  </si>
  <si>
    <t>Repres.</t>
  </si>
  <si>
    <t>(State 3)</t>
  </si>
  <si>
    <t>(State 1)</t>
  </si>
  <si>
    <t>(State 2)</t>
  </si>
  <si>
    <t>OK</t>
  </si>
  <si>
    <t>(State 4)</t>
  </si>
  <si>
    <t>(State 5)</t>
  </si>
  <si>
    <t>(State 6)</t>
  </si>
  <si>
    <t>(State 7)</t>
  </si>
  <si>
    <t>(State 8)</t>
  </si>
  <si>
    <t>(State 9)</t>
  </si>
  <si>
    <t>(State 10)</t>
  </si>
  <si>
    <t>(State 11)</t>
  </si>
  <si>
    <t>(State 12)</t>
  </si>
  <si>
    <t>(State 13)</t>
  </si>
  <si>
    <t>: fixed</t>
  </si>
  <si>
    <t>To:</t>
  </si>
  <si>
    <t>From:</t>
  </si>
  <si>
    <t>P_N</t>
  </si>
  <si>
    <t>P_L</t>
  </si>
  <si>
    <t>P_S</t>
  </si>
  <si>
    <t>=C75 &amp; D75 &amp; E75 &amp; F75 &amp; G75 &amp; H75 &amp; I75 &amp; J75 &amp; K75 &amp; L75 &amp; M75 &amp; N75 &amp; O75</t>
  </si>
  <si>
    <t>\\</t>
  </si>
  <si>
    <t xml:space="preserve"> &amp; </t>
  </si>
  <si>
    <t>0.090</t>
  </si>
  <si>
    <t>SUM</t>
  </si>
  <si>
    <t>MATCH</t>
  </si>
  <si>
    <t>\\ \hline</t>
  </si>
  <si>
    <t>CASE: "only 1 arrival per beat"; h = 3</t>
  </si>
  <si>
    <t>00000</t>
  </si>
  <si>
    <t>Took beats</t>
  </si>
  <si>
    <t>Initial state</t>
  </si>
  <si>
    <t>00100</t>
  </si>
  <si>
    <t>00001</t>
  </si>
  <si>
    <t># States</t>
  </si>
  <si>
    <t>00010</t>
  </si>
  <si>
    <t>00011</t>
  </si>
  <si>
    <t>01000</t>
  </si>
  <si>
    <t>01001</t>
  </si>
  <si>
    <t>01100</t>
  </si>
  <si>
    <t>00110</t>
  </si>
  <si>
    <t>11000</t>
  </si>
  <si>
    <t>11001</t>
  </si>
  <si>
    <t>11100</t>
  </si>
  <si>
    <t>10010</t>
  </si>
  <si>
    <t>10011</t>
  </si>
  <si>
    <t>10110</t>
  </si>
  <si>
    <t>10000</t>
  </si>
  <si>
    <t>10001</t>
  </si>
  <si>
    <t>10100</t>
  </si>
  <si>
    <t>01101</t>
  </si>
  <si>
    <t>01200</t>
  </si>
  <si>
    <t>00111</t>
  </si>
  <si>
    <t>00210</t>
  </si>
  <si>
    <t>00101</t>
  </si>
  <si>
    <t>00200</t>
  </si>
  <si>
    <t>12000</t>
  </si>
  <si>
    <t>11010</t>
  </si>
  <si>
    <t>02100</t>
  </si>
  <si>
    <t>01110</t>
  </si>
  <si>
    <t>02000</t>
  </si>
  <si>
    <t>01010</t>
  </si>
  <si>
    <t>01011</t>
  </si>
  <si>
    <t>11110</t>
  </si>
  <si>
    <t>11011</t>
  </si>
  <si>
    <t>12100</t>
  </si>
  <si>
    <t>12001</t>
  </si>
  <si>
    <t>10101</t>
  </si>
  <si>
    <t>10200</t>
  </si>
  <si>
    <t>02001</t>
  </si>
  <si>
    <t>20000</t>
  </si>
  <si>
    <t>20001</t>
  </si>
  <si>
    <t>20100</t>
  </si>
  <si>
    <t>02101</t>
  </si>
  <si>
    <t>02200</t>
  </si>
  <si>
    <t>21000</t>
  </si>
  <si>
    <t>21001</t>
  </si>
  <si>
    <t>21100</t>
  </si>
  <si>
    <t>01210</t>
  </si>
  <si>
    <t>01111</t>
  </si>
  <si>
    <t>11101</t>
  </si>
  <si>
    <t>11200</t>
  </si>
  <si>
    <t>20010</t>
  </si>
  <si>
    <t>20011</t>
  </si>
  <si>
    <t>20110</t>
  </si>
  <si>
    <t>10111</t>
  </si>
  <si>
    <t>10210</t>
  </si>
  <si>
    <t>UNREACHABLE</t>
  </si>
  <si>
    <t>NR</t>
  </si>
  <si>
    <t>It. 1</t>
  </si>
  <si>
    <t>It. NR</t>
  </si>
  <si>
    <t>It. = Iteration</t>
  </si>
  <si>
    <t>It.</t>
  </si>
  <si>
    <t>It. 2</t>
  </si>
  <si>
    <t>It. 3</t>
  </si>
  <si>
    <t>It. 4</t>
  </si>
  <si>
    <t>It. 5</t>
  </si>
  <si>
    <t>It. 6</t>
  </si>
  <si>
    <t>It. 7</t>
  </si>
  <si>
    <t>It. 8</t>
  </si>
  <si>
    <t>It. 9</t>
  </si>
  <si>
    <t>It. 10</t>
  </si>
  <si>
    <t>It. 11</t>
  </si>
  <si>
    <t>It. 12</t>
  </si>
  <si>
    <t>It. 13</t>
  </si>
  <si>
    <t>It. 14</t>
  </si>
  <si>
    <t>It. 15</t>
  </si>
  <si>
    <t>It. 16</t>
  </si>
  <si>
    <t>It. 17</t>
  </si>
  <si>
    <t>It. 18</t>
  </si>
  <si>
    <t>It. 19</t>
  </si>
  <si>
    <t>Cuadratura:</t>
  </si>
  <si>
    <t>;</t>
  </si>
  <si>
    <t>[</t>
  </si>
  <si>
    <t>];</t>
  </si>
  <si>
    <t>MATLAB initial state</t>
  </si>
  <si>
    <t>%</t>
  </si>
  <si>
    <t>State sum row</t>
  </si>
  <si>
    <t>00220</t>
  </si>
  <si>
    <t>00022</t>
  </si>
  <si>
    <t>Reduced to</t>
  </si>
  <si>
    <t>recheables</t>
  </si>
  <si>
    <t>CASE: "only 1 arrival per beat"; h = 5; capacity = 3</t>
  </si>
  <si>
    <t>1</t>
  </si>
  <si>
    <t>(St. 1)</t>
  </si>
  <si>
    <t>2</t>
  </si>
  <si>
    <t>(2)</t>
  </si>
  <si>
    <t>(1)</t>
  </si>
  <si>
    <t>(3)</t>
  </si>
  <si>
    <t>(4)</t>
  </si>
  <si>
    <t>15</t>
  </si>
  <si>
    <t>14</t>
  </si>
  <si>
    <t>13</t>
  </si>
  <si>
    <t>12</t>
  </si>
  <si>
    <t>11</t>
  </si>
  <si>
    <t>10</t>
  </si>
  <si>
    <t>6</t>
  </si>
  <si>
    <t>16</t>
  </si>
  <si>
    <t>18</t>
  </si>
  <si>
    <t>17</t>
  </si>
  <si>
    <t>7</t>
  </si>
  <si>
    <t>8</t>
  </si>
  <si>
    <t>9</t>
  </si>
  <si>
    <t>5</t>
  </si>
  <si>
    <t>19</t>
  </si>
  <si>
    <t>20</t>
  </si>
  <si>
    <t>4</t>
  </si>
  <si>
    <t>21</t>
  </si>
  <si>
    <t>22</t>
  </si>
  <si>
    <t>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</si>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</sst>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color theme="1"/>
      <name val="Consolas"/>
      <family val="3"/>
    </font>
    <font>
      <i/>
      <sz val="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9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2" borderId="3" xfId="0" applyFont="1" applyFill="1" applyBorder="1"/>
    <xf numFmtId="0" fontId="1" fillId="2" borderId="2" xfId="0" quotePrefix="1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quotePrefix="1" applyFont="1" applyFill="1" applyBorder="1"/>
    <xf numFmtId="0" fontId="1" fillId="2" borderId="1" xfId="0" quotePrefix="1" applyFont="1" applyFill="1" applyBorder="1"/>
    <xf numFmtId="0" fontId="4" fillId="0" borderId="0" xfId="0" applyFont="1"/>
    <xf numFmtId="0" fontId="4" fillId="0" borderId="0" xfId="0" quotePrefix="1" applyFon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0" borderId="0" xfId="0" quotePrefix="1" applyNumberFormat="1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quotePrefix="1" applyBorder="1"/>
    <xf numFmtId="0" fontId="0" fillId="0" borderId="9" xfId="0" quotePrefix="1" applyBorder="1"/>
    <xf numFmtId="0" fontId="0" fillId="0" borderId="2" xfId="0" quotePrefix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1" xfId="0" quotePrefix="1" applyBorder="1"/>
    <xf numFmtId="0" fontId="0" fillId="0" borderId="5" xfId="0" quotePrefix="1" applyBorder="1"/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0" xfId="0" quotePrefix="1" applyFont="1" applyFill="1"/>
    <xf numFmtId="0" fontId="0" fillId="3" borderId="0" xfId="0" applyFill="1"/>
    <xf numFmtId="0" fontId="4" fillId="3" borderId="0" xfId="0" applyFont="1" applyFill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quotePrefix="1" applyFont="1" applyFill="1"/>
    <xf numFmtId="0" fontId="4" fillId="0" borderId="12" xfId="0" quotePrefix="1" applyFont="1" applyBorder="1"/>
    <xf numFmtId="0" fontId="4" fillId="0" borderId="2" xfId="0" quotePrefix="1" applyFont="1" applyBorder="1"/>
    <xf numFmtId="0" fontId="4" fillId="0" borderId="12" xfId="0" applyFont="1" applyBorder="1"/>
    <xf numFmtId="0" fontId="4" fillId="0" borderId="2" xfId="0" applyFont="1" applyBorder="1"/>
    <xf numFmtId="0" fontId="3" fillId="3" borderId="1" xfId="0" quotePrefix="1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7" fillId="0" borderId="0" xfId="0" applyFont="1"/>
    <xf numFmtId="2" fontId="7" fillId="0" borderId="0" xfId="0" applyNumberFormat="1" applyFont="1"/>
    <xf numFmtId="1" fontId="6" fillId="0" borderId="1" xfId="0" applyNumberFormat="1" applyFont="1" applyBorder="1"/>
    <xf numFmtId="1" fontId="0" fillId="0" borderId="1" xfId="0" applyNumberFormat="1" applyBorder="1"/>
    <xf numFmtId="2" fontId="7" fillId="5" borderId="0" xfId="0" applyNumberFormat="1" applyFont="1" applyFill="1"/>
    <xf numFmtId="0" fontId="10" fillId="2" borderId="3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2" borderId="3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/>
    </xf>
    <xf numFmtId="164" fontId="6" fillId="0" borderId="1" xfId="0" applyNumberFormat="1" applyFont="1" applyBorder="1"/>
    <xf numFmtId="164" fontId="6" fillId="4" borderId="1" xfId="0" applyNumberFormat="1" applyFont="1" applyFill="1" applyBorder="1"/>
    <xf numFmtId="164" fontId="6" fillId="6" borderId="1" xfId="0" applyNumberFormat="1" applyFont="1" applyFill="1" applyBorder="1"/>
    <xf numFmtId="164" fontId="6" fillId="7" borderId="1" xfId="0" applyNumberFormat="1" applyFont="1" applyFill="1" applyBorder="1"/>
    <xf numFmtId="164" fontId="6" fillId="8" borderId="1" xfId="0" applyNumberFormat="1" applyFont="1" applyFill="1" applyBorder="1"/>
    <xf numFmtId="20" fontId="0" fillId="0" borderId="0" xfId="0" applyNumberFormat="1"/>
    <xf numFmtId="0" fontId="1" fillId="9" borderId="3" xfId="0" quotePrefix="1" applyFont="1" applyFill="1" applyBorder="1"/>
    <xf numFmtId="0" fontId="7" fillId="10" borderId="0" xfId="0" applyFont="1" applyFill="1"/>
    <xf numFmtId="0" fontId="4" fillId="10" borderId="0" xfId="0" quotePrefix="1" applyFont="1" applyFill="1"/>
    <xf numFmtId="164" fontId="6" fillId="0" borderId="0" xfId="0" applyNumberFormat="1" applyFon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14" xfId="0" applyNumberFormat="1" applyBorder="1"/>
    <xf numFmtId="0" fontId="0" fillId="0" borderId="14" xfId="0" applyBorder="1"/>
    <xf numFmtId="49" fontId="0" fillId="0" borderId="6" xfId="0" applyNumberFormat="1" applyBorder="1"/>
    <xf numFmtId="0" fontId="0" fillId="0" borderId="5" xfId="0" applyBorder="1"/>
    <xf numFmtId="49" fontId="0" fillId="0" borderId="5" xfId="0" applyNumberFormat="1" applyBorder="1"/>
    <xf numFmtId="49" fontId="1" fillId="0" borderId="0" xfId="0" applyNumberFormat="1" applyFont="1"/>
    <xf numFmtId="49" fontId="1" fillId="0" borderId="1" xfId="0" applyNumberFormat="1" applyFont="1" applyBorder="1"/>
    <xf numFmtId="49" fontId="0" fillId="11" borderId="6" xfId="0" applyNumberFormat="1" applyFill="1" applyBorder="1"/>
    <xf numFmtId="0" fontId="0" fillId="11" borderId="6" xfId="0" applyFill="1" applyBorder="1"/>
    <xf numFmtId="49" fontId="1" fillId="12" borderId="15" xfId="0" applyNumberFormat="1" applyFont="1" applyFill="1" applyBorder="1"/>
    <xf numFmtId="49" fontId="1" fillId="12" borderId="10" xfId="0" applyNumberFormat="1" applyFont="1" applyFill="1" applyBorder="1"/>
    <xf numFmtId="10" fontId="0" fillId="0" borderId="7" xfId="1" applyNumberFormat="1" applyFont="1" applyBorder="1"/>
    <xf numFmtId="10" fontId="0" fillId="0" borderId="4" xfId="1" applyNumberFormat="1" applyFont="1" applyBorder="1"/>
    <xf numFmtId="49" fontId="0" fillId="0" borderId="7" xfId="0" applyNumberFormat="1" applyBorder="1"/>
    <xf numFmtId="0" fontId="0" fillId="0" borderId="6" xfId="0" applyBorder="1"/>
    <xf numFmtId="49" fontId="0" fillId="0" borderId="4" xfId="0" applyNumberFormat="1" applyBorder="1"/>
    <xf numFmtId="0" fontId="0" fillId="10" borderId="14" xfId="0" applyFill="1" applyBorder="1"/>
    <xf numFmtId="0" fontId="1" fillId="10" borderId="0" xfId="0" applyFont="1" applyFill="1"/>
    <xf numFmtId="0" fontId="0" fillId="10" borderId="0" xfId="0" applyFill="1"/>
    <xf numFmtId="49" fontId="1" fillId="10" borderId="0" xfId="0" applyNumberFormat="1" applyFont="1" applyFill="1"/>
    <xf numFmtId="49" fontId="0" fillId="10" borderId="0" xfId="0" applyNumberFormat="1" applyFill="1"/>
    <xf numFmtId="49" fontId="1" fillId="10" borderId="14" xfId="0" applyNumberFormat="1" applyFont="1" applyFill="1" applyBorder="1"/>
    <xf numFmtId="0" fontId="1" fillId="10" borderId="14" xfId="0" applyFont="1" applyFill="1" applyBorder="1"/>
    <xf numFmtId="0" fontId="0" fillId="10" borderId="1" xfId="0" applyFill="1" applyBorder="1"/>
    <xf numFmtId="49" fontId="1" fillId="10" borderId="1" xfId="0" applyNumberFormat="1" applyFont="1" applyFill="1" applyBorder="1"/>
    <xf numFmtId="49" fontId="0" fillId="10" borderId="1" xfId="0" applyNumberFormat="1" applyFill="1" applyBorder="1"/>
    <xf numFmtId="49" fontId="0" fillId="10" borderId="5" xfId="0" applyNumberFormat="1" applyFill="1" applyBorder="1"/>
    <xf numFmtId="0" fontId="0" fillId="10" borderId="5" xfId="0" applyFill="1" applyBorder="1"/>
    <xf numFmtId="49" fontId="0" fillId="10" borderId="14" xfId="0" applyNumberFormat="1" applyFill="1" applyBorder="1"/>
    <xf numFmtId="0" fontId="0" fillId="10" borderId="5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49" fontId="1" fillId="12" borderId="15" xfId="0" applyNumberFormat="1" applyFont="1" applyFill="1" applyBorder="1" applyAlignment="1">
      <alignment horizontal="left"/>
    </xf>
    <xf numFmtId="49" fontId="1" fillId="12" borderId="16" xfId="0" applyNumberFormat="1" applyFont="1" applyFill="1" applyBorder="1" applyAlignment="1">
      <alignment horizontal="left"/>
    </xf>
    <xf numFmtId="49" fontId="2" fillId="12" borderId="15" xfId="0" applyNumberFormat="1" applyFont="1" applyFill="1" applyBorder="1"/>
    <xf numFmtId="49" fontId="2" fillId="12" borderId="13" xfId="0" applyNumberFormat="1" applyFont="1" applyFill="1" applyBorder="1"/>
    <xf numFmtId="49" fontId="2" fillId="12" borderId="16" xfId="0" applyNumberFormat="1" applyFont="1" applyFill="1" applyBorder="1"/>
    <xf numFmtId="49" fontId="14" fillId="0" borderId="0" xfId="0" applyNumberFormat="1" applyFont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14" fillId="0" borderId="13" xfId="0" applyNumberFormat="1" applyFont="1" applyBorder="1" applyAlignment="1">
      <alignment horizontal="left"/>
    </xf>
    <xf numFmtId="49" fontId="14" fillId="10" borderId="1" xfId="0" applyNumberFormat="1" applyFont="1" applyFill="1" applyBorder="1" applyAlignment="1">
      <alignment horizontal="left"/>
    </xf>
    <xf numFmtId="49" fontId="0" fillId="13" borderId="1" xfId="0" applyNumberFormat="1" applyFill="1" applyBorder="1"/>
    <xf numFmtId="49" fontId="14" fillId="13" borderId="1" xfId="0" applyNumberFormat="1" applyFont="1" applyFill="1" applyBorder="1" applyAlignment="1">
      <alignment horizontal="left"/>
    </xf>
    <xf numFmtId="0" fontId="0" fillId="13" borderId="0" xfId="0" applyFill="1"/>
    <xf numFmtId="49" fontId="1" fillId="14" borderId="0" xfId="0" applyNumberFormat="1" applyFont="1" applyFill="1"/>
    <xf numFmtId="0" fontId="0" fillId="0" borderId="3" xfId="0" applyBorder="1"/>
    <xf numFmtId="0" fontId="1" fillId="15" borderId="3" xfId="0" applyFont="1" applyFill="1" applyBorder="1"/>
    <xf numFmtId="0" fontId="1" fillId="15" borderId="2" xfId="0" applyFont="1" applyFill="1" applyBorder="1"/>
    <xf numFmtId="0" fontId="1" fillId="15" borderId="1" xfId="0" applyFont="1" applyFill="1" applyBorder="1"/>
    <xf numFmtId="0" fontId="1" fillId="0" borderId="15" xfId="0" applyFont="1" applyBorder="1"/>
    <xf numFmtId="0" fontId="0" fillId="15" borderId="16" xfId="0" applyFill="1" applyBorder="1"/>
    <xf numFmtId="0" fontId="15" fillId="0" borderId="0" xfId="2"/>
    <xf numFmtId="49" fontId="0" fillId="15" borderId="16" xfId="0" applyNumberFormat="1" applyFill="1" applyBorder="1"/>
    <xf numFmtId="0" fontId="1" fillId="15" borderId="0" xfId="0" applyFont="1" applyFill="1"/>
    <xf numFmtId="0" fontId="0" fillId="0" borderId="17" xfId="0" applyBorder="1"/>
    <xf numFmtId="0" fontId="1" fillId="0" borderId="14" xfId="0" applyFont="1" applyBorder="1"/>
    <xf numFmtId="0" fontId="0" fillId="0" borderId="12" xfId="0" applyBorder="1"/>
    <xf numFmtId="10" fontId="0" fillId="0" borderId="0" xfId="1" applyNumberFormat="1" applyFont="1" applyBorder="1"/>
    <xf numFmtId="49" fontId="0" fillId="0" borderId="0" xfId="0" quotePrefix="1" applyNumberFormat="1"/>
    <xf numFmtId="49" fontId="16" fillId="0" borderId="0" xfId="0" quotePrefix="1" applyNumberFormat="1" applyFont="1"/>
    <xf numFmtId="49" fontId="1" fillId="15" borderId="16" xfId="0" applyNumberFormat="1" applyFont="1" applyFill="1" applyBorder="1"/>
    <xf numFmtId="0" fontId="1" fillId="0" borderId="12" xfId="0" applyFont="1" applyBorder="1"/>
    <xf numFmtId="49" fontId="1" fillId="3" borderId="0" xfId="0" applyNumberFormat="1" applyFont="1" applyFill="1"/>
    <xf numFmtId="49" fontId="1" fillId="0" borderId="14" xfId="0" applyNumberFormat="1" applyFont="1" applyBorder="1"/>
    <xf numFmtId="49" fontId="1" fillId="3" borderId="1" xfId="0" applyNumberFormat="1" applyFont="1" applyFill="1" applyBorder="1"/>
    <xf numFmtId="0" fontId="0" fillId="16" borderId="0" xfId="0" applyFill="1"/>
    <xf numFmtId="49" fontId="1" fillId="16" borderId="0" xfId="0" applyNumberFormat="1" applyFont="1" applyFill="1"/>
    <xf numFmtId="0" fontId="0" fillId="16" borderId="1" xfId="0" applyFill="1" applyBorder="1"/>
    <xf numFmtId="49" fontId="1" fillId="16" borderId="1" xfId="0" applyNumberFormat="1" applyFont="1" applyFill="1" applyBorder="1"/>
    <xf numFmtId="49" fontId="0" fillId="16" borderId="1" xfId="0" applyNumberFormat="1" applyFill="1" applyBorder="1"/>
    <xf numFmtId="0" fontId="1" fillId="16" borderId="0" xfId="0" applyFont="1" applyFill="1"/>
    <xf numFmtId="49" fontId="17" fillId="0" borderId="0" xfId="2" applyNumberFormat="1" applyFont="1"/>
    <xf numFmtId="49" fontId="0" fillId="16" borderId="0" xfId="0" applyNumberFormat="1" applyFill="1"/>
    <xf numFmtId="0" fontId="1" fillId="16" borderId="1" xfId="0" applyFont="1" applyFill="1" applyBorder="1"/>
    <xf numFmtId="0" fontId="0" fillId="16" borderId="13" xfId="0" applyFill="1" applyBorder="1"/>
    <xf numFmtId="49" fontId="1" fillId="15" borderId="1" xfId="0" applyNumberFormat="1" applyFont="1" applyFill="1" applyBorder="1"/>
    <xf numFmtId="49" fontId="0" fillId="0" borderId="17" xfId="0" applyNumberFormat="1" applyBorder="1"/>
    <xf numFmtId="49" fontId="1" fillId="0" borderId="1" xfId="0" applyNumberFormat="1" applyFont="1" applyBorder="1" applyAlignment="1">
      <alignment horizontal="center"/>
    </xf>
    <xf numFmtId="49" fontId="1" fillId="12" borderId="13" xfId="0" applyNumberFormat="1" applyFont="1" applyFill="1" applyBorder="1"/>
    <xf numFmtId="49" fontId="1" fillId="12" borderId="13" xfId="0" applyNumberFormat="1" applyFont="1" applyFill="1" applyBorder="1" applyAlignment="1">
      <alignment horizontal="left"/>
    </xf>
    <xf numFmtId="49" fontId="1" fillId="0" borderId="16" xfId="0" applyNumberFormat="1" applyFont="1" applyBorder="1"/>
    <xf numFmtId="0" fontId="0" fillId="12" borderId="18" xfId="0" applyFill="1" applyBorder="1"/>
    <xf numFmtId="0" fontId="0" fillId="12" borderId="4" xfId="0" applyFill="1" applyBorder="1"/>
    <xf numFmtId="0" fontId="1" fillId="12" borderId="10" xfId="0" applyFont="1" applyFill="1" applyBorder="1"/>
    <xf numFmtId="0" fontId="0" fillId="12" borderId="13" xfId="0" applyFill="1" applyBorder="1" applyAlignment="1">
      <alignment horizontal="right"/>
    </xf>
    <xf numFmtId="0" fontId="1" fillId="12" borderId="16" xfId="0" applyFont="1" applyFill="1" applyBorder="1" applyAlignment="1">
      <alignment horizontal="right"/>
    </xf>
    <xf numFmtId="0" fontId="18" fillId="0" borderId="0" xfId="0" applyFont="1" applyAlignment="1">
      <alignment horizontal="left" vertical="center"/>
    </xf>
    <xf numFmtId="0" fontId="0" fillId="5" borderId="5" xfId="0" applyFill="1" applyBorder="1"/>
    <xf numFmtId="49" fontId="0" fillId="5" borderId="0" xfId="0" applyNumberFormat="1" applyFill="1"/>
    <xf numFmtId="0" fontId="0" fillId="5" borderId="0" xfId="0" applyFill="1"/>
    <xf numFmtId="0" fontId="0" fillId="5" borderId="2" xfId="0" applyFill="1" applyBorder="1"/>
    <xf numFmtId="49" fontId="1" fillId="0" borderId="0" xfId="0" quotePrefix="1" applyNumberFormat="1" applyFont="1"/>
    <xf numFmtId="49" fontId="2" fillId="3" borderId="0" xfId="0" applyNumberFormat="1" applyFont="1" applyFill="1"/>
    <xf numFmtId="49" fontId="2" fillId="3" borderId="1" xfId="0" applyNumberFormat="1" applyFont="1" applyFill="1" applyBorder="1"/>
    <xf numFmtId="0" fontId="0" fillId="17" borderId="5" xfId="0" applyFill="1" applyBorder="1"/>
    <xf numFmtId="49" fontId="0" fillId="17" borderId="0" xfId="0" applyNumberFormat="1" applyFill="1"/>
    <xf numFmtId="0" fontId="0" fillId="18" borderId="5" xfId="0" applyFill="1" applyBorder="1"/>
    <xf numFmtId="49" fontId="0" fillId="18" borderId="0" xfId="0" applyNumberFormat="1" applyFill="1"/>
    <xf numFmtId="0" fontId="0" fillId="18" borderId="0" xfId="0" applyFill="1"/>
    <xf numFmtId="49" fontId="1" fillId="5" borderId="0" xfId="0" applyNumberFormat="1" applyFont="1" applyFill="1"/>
    <xf numFmtId="49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1" fillId="5" borderId="1" xfId="0" applyNumberFormat="1" applyFont="1" applyFill="1" applyBorder="1"/>
    <xf numFmtId="49" fontId="19" fillId="2" borderId="0" xfId="0" applyNumberFormat="1" applyFont="1" applyFill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2" borderId="13" xfId="0" applyNumberFormat="1" applyFont="1" applyFill="1" applyBorder="1" applyAlignment="1">
      <alignment horizontal="center" vertical="center"/>
    </xf>
    <xf numFmtId="0" fontId="1" fillId="5" borderId="0" xfId="0" applyFont="1" applyFill="1"/>
    <xf numFmtId="0" fontId="13" fillId="0" borderId="0" xfId="0" applyFont="1" applyAlignment="1">
      <alignment horizontal="center" vertical="top"/>
    </xf>
    <xf numFmtId="0" fontId="2" fillId="12" borderId="0" xfId="0" applyFont="1" applyFill="1" applyAlignment="1">
      <alignment horizontal="left"/>
    </xf>
    <xf numFmtId="0" fontId="0" fillId="12" borderId="1" xfId="0" applyFill="1" applyBorder="1" applyAlignment="1">
      <alignment horizontal="right"/>
    </xf>
    <xf numFmtId="0" fontId="0" fillId="12" borderId="3" xfId="0" applyFill="1" applyBorder="1" applyAlignment="1">
      <alignment horizontal="right"/>
    </xf>
    <xf numFmtId="0" fontId="0" fillId="12" borderId="13" xfId="0" applyFill="1" applyBorder="1" applyAlignment="1">
      <alignment horizontal="right"/>
    </xf>
    <xf numFmtId="0" fontId="0" fillId="12" borderId="16" xfId="0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 vertical="center" textRotation="90"/>
    </xf>
    <xf numFmtId="0" fontId="7" fillId="0" borderId="0" xfId="0" applyFont="1" applyAlignment="1">
      <alignment horizontal="center"/>
    </xf>
    <xf numFmtId="49" fontId="0" fillId="11" borderId="6" xfId="0" applyNumberFormat="1" applyFill="1" applyBorder="1" applyAlignment="1">
      <alignment horizontal="left"/>
    </xf>
    <xf numFmtId="49" fontId="0" fillId="11" borderId="3" xfId="0" applyNumberFormat="1" applyFill="1" applyBorder="1" applyAlignment="1">
      <alignment horizontal="left"/>
    </xf>
  </cellXfs>
  <cellStyles count="3">
    <cellStyle name="Hyperlink" xfId="2" builtinId="8"/>
    <cellStyle name="Normal" xfId="0" builtinId="0"/>
    <cellStyle name="Per cent" xfId="1" builtinId="5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11</xdr:row>
      <xdr:rowOff>38100</xdr:rowOff>
    </xdr:from>
    <xdr:to>
      <xdr:col>2</xdr:col>
      <xdr:colOff>15240</xdr:colOff>
      <xdr:row>16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0B8288B-3C72-6FBF-F632-9E62736D9D92}"/>
            </a:ext>
          </a:extLst>
        </xdr:cNvPr>
        <xdr:cNvCxnSpPr/>
      </xdr:nvCxnSpPr>
      <xdr:spPr>
        <a:xfrm flipV="1">
          <a:off x="276225" y="2028825"/>
          <a:ext cx="958215" cy="952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278130</xdr:colOff>
      <xdr:row>16</xdr:row>
      <xdr:rowOff>91440</xdr:rowOff>
    </xdr:from>
    <xdr:to>
      <xdr:col>1</xdr:col>
      <xdr:colOff>590550</xdr:colOff>
      <xdr:row>19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5EA5E19-BA30-4A4E-99ED-7478B8FD4D63}"/>
            </a:ext>
          </a:extLst>
        </xdr:cNvPr>
        <xdr:cNvCxnSpPr/>
      </xdr:nvCxnSpPr>
      <xdr:spPr>
        <a:xfrm>
          <a:off x="278130" y="2987040"/>
          <a:ext cx="922020" cy="527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16</xdr:row>
      <xdr:rowOff>95250</xdr:rowOff>
    </xdr:from>
    <xdr:to>
      <xdr:col>1</xdr:col>
      <xdr:colOff>561975</xdr:colOff>
      <xdr:row>28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7812B11-1C91-42A3-B3A7-68F094AE7F1C}"/>
            </a:ext>
          </a:extLst>
        </xdr:cNvPr>
        <xdr:cNvCxnSpPr/>
      </xdr:nvCxnSpPr>
      <xdr:spPr>
        <a:xfrm>
          <a:off x="285750" y="2990850"/>
          <a:ext cx="885825" cy="2171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253365</xdr:colOff>
      <xdr:row>7</xdr:row>
      <xdr:rowOff>104775</xdr:rowOff>
    </xdr:from>
    <xdr:to>
      <xdr:col>3</xdr:col>
      <xdr:colOff>600075</xdr:colOff>
      <xdr:row>10</xdr:row>
      <xdr:rowOff>97155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87A0828-8F3F-4899-A3BE-352C257615E3}"/>
            </a:ext>
          </a:extLst>
        </xdr:cNvPr>
        <xdr:cNvCxnSpPr/>
      </xdr:nvCxnSpPr>
      <xdr:spPr>
        <a:xfrm flipV="1">
          <a:off x="1472565" y="1371600"/>
          <a:ext cx="956310" cy="5353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249555</xdr:colOff>
      <xdr:row>10</xdr:row>
      <xdr:rowOff>91440</xdr:rowOff>
    </xdr:from>
    <xdr:to>
      <xdr:col>4</xdr:col>
      <xdr:colOff>0</xdr:colOff>
      <xdr:row>10</xdr:row>
      <xdr:rowOff>95250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C972CFB-8405-4D2D-B79E-3F4F1AB2791F}"/>
            </a:ext>
          </a:extLst>
        </xdr:cNvPr>
        <xdr:cNvCxnSpPr/>
      </xdr:nvCxnSpPr>
      <xdr:spPr>
        <a:xfrm>
          <a:off x="1468755" y="1901190"/>
          <a:ext cx="96964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249555</xdr:colOff>
      <xdr:row>10</xdr:row>
      <xdr:rowOff>87630</xdr:rowOff>
    </xdr:from>
    <xdr:to>
      <xdr:col>3</xdr:col>
      <xdr:colOff>561975</xdr:colOff>
      <xdr:row>13</xdr:row>
      <xdr:rowOff>85725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A5C4C97-BD41-444C-8C71-DB167502AD1A}"/>
            </a:ext>
          </a:extLst>
        </xdr:cNvPr>
        <xdr:cNvCxnSpPr/>
      </xdr:nvCxnSpPr>
      <xdr:spPr>
        <a:xfrm>
          <a:off x="1468755" y="1897380"/>
          <a:ext cx="92202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19</xdr:row>
      <xdr:rowOff>104775</xdr:rowOff>
    </xdr:from>
    <xdr:to>
      <xdr:col>3</xdr:col>
      <xdr:colOff>573405</xdr:colOff>
      <xdr:row>22</xdr:row>
      <xdr:rowOff>104775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B22E365-5DDE-44E1-97C8-32650135589D}"/>
            </a:ext>
          </a:extLst>
        </xdr:cNvPr>
        <xdr:cNvCxnSpPr/>
      </xdr:nvCxnSpPr>
      <xdr:spPr>
        <a:xfrm>
          <a:off x="1487805" y="3543300"/>
          <a:ext cx="914400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28</xdr:row>
      <xdr:rowOff>123825</xdr:rowOff>
    </xdr:from>
    <xdr:to>
      <xdr:col>3</xdr:col>
      <xdr:colOff>586740</xdr:colOff>
      <xdr:row>31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BA57F28-FBAE-42A9-BD77-479213AE46FC}"/>
            </a:ext>
          </a:extLst>
        </xdr:cNvPr>
        <xdr:cNvCxnSpPr/>
      </xdr:nvCxnSpPr>
      <xdr:spPr>
        <a:xfrm>
          <a:off x="1487805" y="5191125"/>
          <a:ext cx="927735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16</xdr:row>
      <xdr:rowOff>76200</xdr:rowOff>
    </xdr:from>
    <xdr:to>
      <xdr:col>3</xdr:col>
      <xdr:colOff>571500</xdr:colOff>
      <xdr:row>19</xdr:row>
      <xdr:rowOff>102870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6A7340E-E1D3-4DC4-B3A3-66279B911122}"/>
            </a:ext>
          </a:extLst>
        </xdr:cNvPr>
        <xdr:cNvCxnSpPr/>
      </xdr:nvCxnSpPr>
      <xdr:spPr>
        <a:xfrm flipV="1">
          <a:off x="1487805" y="2971800"/>
          <a:ext cx="912495" cy="5695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19</xdr:row>
      <xdr:rowOff>102870</xdr:rowOff>
    </xdr:from>
    <xdr:to>
      <xdr:col>3</xdr:col>
      <xdr:colOff>592455</xdr:colOff>
      <xdr:row>19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995A8C9-1593-4FC3-9C50-13171C620A80}"/>
            </a:ext>
          </a:extLst>
        </xdr:cNvPr>
        <xdr:cNvCxnSpPr/>
      </xdr:nvCxnSpPr>
      <xdr:spPr>
        <a:xfrm flipV="1">
          <a:off x="1487805" y="3541395"/>
          <a:ext cx="93345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25</xdr:row>
      <xdr:rowOff>76200</xdr:rowOff>
    </xdr:from>
    <xdr:to>
      <xdr:col>4</xdr:col>
      <xdr:colOff>9525</xdr:colOff>
      <xdr:row>28</xdr:row>
      <xdr:rowOff>125730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C2F2A83-D4D0-4E0D-9115-3C563EB6456B}"/>
            </a:ext>
          </a:extLst>
        </xdr:cNvPr>
        <xdr:cNvCxnSpPr/>
      </xdr:nvCxnSpPr>
      <xdr:spPr>
        <a:xfrm flipV="1">
          <a:off x="1487805" y="4600575"/>
          <a:ext cx="960120" cy="5924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281940</xdr:colOff>
      <xdr:row>28</xdr:row>
      <xdr:rowOff>114300</xdr:rowOff>
    </xdr:from>
    <xdr:to>
      <xdr:col>3</xdr:col>
      <xdr:colOff>590550</xdr:colOff>
      <xdr:row>28</xdr:row>
      <xdr:rowOff>114300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9A1B919-C2A2-42EF-BCA1-D697A9E209C7}"/>
            </a:ext>
          </a:extLst>
        </xdr:cNvPr>
        <xdr:cNvCxnSpPr/>
      </xdr:nvCxnSpPr>
      <xdr:spPr>
        <a:xfrm>
          <a:off x="1501140" y="5181600"/>
          <a:ext cx="9182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6</xdr:row>
      <xdr:rowOff>49530</xdr:rowOff>
    </xdr:from>
    <xdr:to>
      <xdr:col>5</xdr:col>
      <xdr:colOff>571500</xdr:colOff>
      <xdr:row>7</xdr:row>
      <xdr:rowOff>72390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4D1D875-A3F7-4D4C-A631-ED010589AAA5}"/>
            </a:ext>
          </a:extLst>
        </xdr:cNvPr>
        <xdr:cNvCxnSpPr/>
      </xdr:nvCxnSpPr>
      <xdr:spPr>
        <a:xfrm flipV="1">
          <a:off x="2724150" y="1135380"/>
          <a:ext cx="895350" cy="2038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291465</xdr:colOff>
      <xdr:row>7</xdr:row>
      <xdr:rowOff>62865</xdr:rowOff>
    </xdr:from>
    <xdr:to>
      <xdr:col>5</xdr:col>
      <xdr:colOff>582930</xdr:colOff>
      <xdr:row>7</xdr:row>
      <xdr:rowOff>64770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FEF2A9-BCF5-402E-BB4A-57F37C7DB3FB}"/>
            </a:ext>
          </a:extLst>
        </xdr:cNvPr>
        <xdr:cNvCxnSpPr/>
      </xdr:nvCxnSpPr>
      <xdr:spPr>
        <a:xfrm>
          <a:off x="2729865" y="1329690"/>
          <a:ext cx="90106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7</xdr:row>
      <xdr:rowOff>78105</xdr:rowOff>
    </xdr:from>
    <xdr:to>
      <xdr:col>5</xdr:col>
      <xdr:colOff>571500</xdr:colOff>
      <xdr:row>8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BA764D4-494D-46A9-A57D-A9D28C77C4AD}"/>
            </a:ext>
          </a:extLst>
        </xdr:cNvPr>
        <xdr:cNvCxnSpPr/>
      </xdr:nvCxnSpPr>
      <xdr:spPr>
        <a:xfrm>
          <a:off x="2720340" y="1344930"/>
          <a:ext cx="89916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9</xdr:row>
      <xdr:rowOff>81915</xdr:rowOff>
    </xdr:from>
    <xdr:to>
      <xdr:col>5</xdr:col>
      <xdr:colOff>571500</xdr:colOff>
      <xdr:row>10</xdr:row>
      <xdr:rowOff>81915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6300974-61D8-4F3E-B3E6-B92BEB7A844E}"/>
            </a:ext>
          </a:extLst>
        </xdr:cNvPr>
        <xdr:cNvCxnSpPr/>
      </xdr:nvCxnSpPr>
      <xdr:spPr>
        <a:xfrm flipV="1">
          <a:off x="2724150" y="1710690"/>
          <a:ext cx="8953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10</xdr:row>
      <xdr:rowOff>81915</xdr:rowOff>
    </xdr:from>
    <xdr:to>
      <xdr:col>5</xdr:col>
      <xdr:colOff>590550</xdr:colOff>
      <xdr:row>10</xdr:row>
      <xdr:rowOff>81915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46535E42-A494-4976-9827-2B7E4026BB08}"/>
            </a:ext>
          </a:extLst>
        </xdr:cNvPr>
        <xdr:cNvCxnSpPr/>
      </xdr:nvCxnSpPr>
      <xdr:spPr>
        <a:xfrm>
          <a:off x="2722245" y="1891665"/>
          <a:ext cx="9163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10</xdr:row>
      <xdr:rowOff>81915</xdr:rowOff>
    </xdr:from>
    <xdr:to>
      <xdr:col>5</xdr:col>
      <xdr:colOff>571500</xdr:colOff>
      <xdr:row>11</xdr:row>
      <xdr:rowOff>120015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2845E5D-6CA1-41F8-8565-5078E6C8AEA7}"/>
            </a:ext>
          </a:extLst>
        </xdr:cNvPr>
        <xdr:cNvCxnSpPr/>
      </xdr:nvCxnSpPr>
      <xdr:spPr>
        <a:xfrm>
          <a:off x="2720340" y="1891665"/>
          <a:ext cx="89916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15</xdr:row>
      <xdr:rowOff>72390</xdr:rowOff>
    </xdr:from>
    <xdr:to>
      <xdr:col>5</xdr:col>
      <xdr:colOff>571500</xdr:colOff>
      <xdr:row>16</xdr:row>
      <xdr:rowOff>93345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FF888AA0-3B71-46A1-8AAC-0ADB919F1F38}"/>
            </a:ext>
          </a:extLst>
        </xdr:cNvPr>
        <xdr:cNvCxnSpPr/>
      </xdr:nvCxnSpPr>
      <xdr:spPr>
        <a:xfrm flipV="1">
          <a:off x="2720340" y="2787015"/>
          <a:ext cx="89916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16</xdr:row>
      <xdr:rowOff>93345</xdr:rowOff>
    </xdr:from>
    <xdr:to>
      <xdr:col>5</xdr:col>
      <xdr:colOff>586740</xdr:colOff>
      <xdr:row>16</xdr:row>
      <xdr:rowOff>93345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CE35DF2-3D07-4F23-BB8D-39FB4A8B7DBB}"/>
            </a:ext>
          </a:extLst>
        </xdr:cNvPr>
        <xdr:cNvCxnSpPr/>
      </xdr:nvCxnSpPr>
      <xdr:spPr>
        <a:xfrm>
          <a:off x="2726055" y="2988945"/>
          <a:ext cx="9086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</xdr:row>
      <xdr:rowOff>93345</xdr:rowOff>
    </xdr:from>
    <xdr:to>
      <xdr:col>5</xdr:col>
      <xdr:colOff>571500</xdr:colOff>
      <xdr:row>17</xdr:row>
      <xdr:rowOff>144780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5AD3F6B-6F0F-4388-ACE5-D6BA30E2995D}"/>
            </a:ext>
          </a:extLst>
        </xdr:cNvPr>
        <xdr:cNvCxnSpPr/>
      </xdr:nvCxnSpPr>
      <xdr:spPr>
        <a:xfrm>
          <a:off x="2724150" y="2988945"/>
          <a:ext cx="895350" cy="2324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18</xdr:row>
      <xdr:rowOff>74295</xdr:rowOff>
    </xdr:from>
    <xdr:to>
      <xdr:col>5</xdr:col>
      <xdr:colOff>571500</xdr:colOff>
      <xdr:row>19</xdr:row>
      <xdr:rowOff>95250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EEB24E3D-C521-498A-98B6-0CEC095766FF}"/>
            </a:ext>
          </a:extLst>
        </xdr:cNvPr>
        <xdr:cNvCxnSpPr/>
      </xdr:nvCxnSpPr>
      <xdr:spPr>
        <a:xfrm flipV="1">
          <a:off x="2720340" y="3331845"/>
          <a:ext cx="89916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19</xdr:row>
      <xdr:rowOff>95250</xdr:rowOff>
    </xdr:from>
    <xdr:to>
      <xdr:col>5</xdr:col>
      <xdr:colOff>586740</xdr:colOff>
      <xdr:row>19</xdr:row>
      <xdr:rowOff>95250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7C99598-43DE-40B3-A134-5094B4B8E9C2}"/>
            </a:ext>
          </a:extLst>
        </xdr:cNvPr>
        <xdr:cNvCxnSpPr/>
      </xdr:nvCxnSpPr>
      <xdr:spPr>
        <a:xfrm>
          <a:off x="2726055" y="3533775"/>
          <a:ext cx="9086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19</xdr:row>
      <xdr:rowOff>95250</xdr:rowOff>
    </xdr:from>
    <xdr:to>
      <xdr:col>5</xdr:col>
      <xdr:colOff>571500</xdr:colOff>
      <xdr:row>20</xdr:row>
      <xdr:rowOff>133350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0128713-FF37-4AC7-8CE2-6D85A5B17E94}"/>
            </a:ext>
          </a:extLst>
        </xdr:cNvPr>
        <xdr:cNvCxnSpPr/>
      </xdr:nvCxnSpPr>
      <xdr:spPr>
        <a:xfrm>
          <a:off x="2724150" y="3533775"/>
          <a:ext cx="89535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21</xdr:row>
      <xdr:rowOff>93345</xdr:rowOff>
    </xdr:from>
    <xdr:to>
      <xdr:col>5</xdr:col>
      <xdr:colOff>571500</xdr:colOff>
      <xdr:row>22</xdr:row>
      <xdr:rowOff>93345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643E827-F1AE-479D-8CE4-B8ECEDB0F595}"/>
            </a:ext>
          </a:extLst>
        </xdr:cNvPr>
        <xdr:cNvCxnSpPr/>
      </xdr:nvCxnSpPr>
      <xdr:spPr>
        <a:xfrm flipV="1">
          <a:off x="2720340" y="3893820"/>
          <a:ext cx="89916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22</xdr:row>
      <xdr:rowOff>93345</xdr:rowOff>
    </xdr:from>
    <xdr:to>
      <xdr:col>5</xdr:col>
      <xdr:colOff>586740</xdr:colOff>
      <xdr:row>22</xdr:row>
      <xdr:rowOff>93345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C0F0F7F-0BD4-48B6-9F21-F42AFEED5CCC}"/>
            </a:ext>
          </a:extLst>
        </xdr:cNvPr>
        <xdr:cNvCxnSpPr/>
      </xdr:nvCxnSpPr>
      <xdr:spPr>
        <a:xfrm>
          <a:off x="2726055" y="4074795"/>
          <a:ext cx="9086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22</xdr:row>
      <xdr:rowOff>93345</xdr:rowOff>
    </xdr:from>
    <xdr:to>
      <xdr:col>5</xdr:col>
      <xdr:colOff>571500</xdr:colOff>
      <xdr:row>23</xdr:row>
      <xdr:rowOff>148590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130D6D2F-3CA2-43EE-9E0D-1117D42D480F}"/>
            </a:ext>
          </a:extLst>
        </xdr:cNvPr>
        <xdr:cNvCxnSpPr/>
      </xdr:nvCxnSpPr>
      <xdr:spPr>
        <a:xfrm>
          <a:off x="2724150" y="4074795"/>
          <a:ext cx="895350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24</xdr:row>
      <xdr:rowOff>91440</xdr:rowOff>
    </xdr:from>
    <xdr:to>
      <xdr:col>5</xdr:col>
      <xdr:colOff>571500</xdr:colOff>
      <xdr:row>25</xdr:row>
      <xdr:rowOff>91440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E1F5706-11FA-4DF9-8329-7DB33A7BAA51}"/>
            </a:ext>
          </a:extLst>
        </xdr:cNvPr>
        <xdr:cNvCxnSpPr/>
      </xdr:nvCxnSpPr>
      <xdr:spPr>
        <a:xfrm flipV="1">
          <a:off x="2720340" y="4434840"/>
          <a:ext cx="89916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25</xdr:row>
      <xdr:rowOff>91440</xdr:rowOff>
    </xdr:from>
    <xdr:to>
      <xdr:col>5</xdr:col>
      <xdr:colOff>586740</xdr:colOff>
      <xdr:row>25</xdr:row>
      <xdr:rowOff>91440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B2240E31-A41D-4DE6-A7ED-B40318AF6953}"/>
            </a:ext>
          </a:extLst>
        </xdr:cNvPr>
        <xdr:cNvCxnSpPr/>
      </xdr:nvCxnSpPr>
      <xdr:spPr>
        <a:xfrm>
          <a:off x="2726055" y="4615815"/>
          <a:ext cx="9086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25</xdr:row>
      <xdr:rowOff>91440</xdr:rowOff>
    </xdr:from>
    <xdr:to>
      <xdr:col>5</xdr:col>
      <xdr:colOff>571500</xdr:colOff>
      <xdr:row>26</xdr:row>
      <xdr:rowOff>154305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9C0D5FB-4B42-41F3-83FC-C0FC5BAE9320}"/>
            </a:ext>
          </a:extLst>
        </xdr:cNvPr>
        <xdr:cNvCxnSpPr/>
      </xdr:nvCxnSpPr>
      <xdr:spPr>
        <a:xfrm>
          <a:off x="2724150" y="4615815"/>
          <a:ext cx="89535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27</xdr:row>
      <xdr:rowOff>95250</xdr:rowOff>
    </xdr:from>
    <xdr:to>
      <xdr:col>5</xdr:col>
      <xdr:colOff>571500</xdr:colOff>
      <xdr:row>28</xdr:row>
      <xdr:rowOff>95250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D9762CD-4D10-4685-988C-AB1826DA6062}"/>
            </a:ext>
          </a:extLst>
        </xdr:cNvPr>
        <xdr:cNvCxnSpPr/>
      </xdr:nvCxnSpPr>
      <xdr:spPr>
        <a:xfrm flipV="1">
          <a:off x="2724150" y="4981575"/>
          <a:ext cx="8953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28</xdr:row>
      <xdr:rowOff>95250</xdr:rowOff>
    </xdr:from>
    <xdr:to>
      <xdr:col>5</xdr:col>
      <xdr:colOff>590550</xdr:colOff>
      <xdr:row>28</xdr:row>
      <xdr:rowOff>95250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19A9542-B8A5-4C7E-BDBD-C635672CF694}"/>
            </a:ext>
          </a:extLst>
        </xdr:cNvPr>
        <xdr:cNvCxnSpPr/>
      </xdr:nvCxnSpPr>
      <xdr:spPr>
        <a:xfrm>
          <a:off x="2722245" y="5162550"/>
          <a:ext cx="9163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28</xdr:row>
      <xdr:rowOff>95250</xdr:rowOff>
    </xdr:from>
    <xdr:to>
      <xdr:col>5</xdr:col>
      <xdr:colOff>571500</xdr:colOff>
      <xdr:row>29</xdr:row>
      <xdr:rowOff>144780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8726CE36-C677-4819-A447-D15583FECFD1}"/>
            </a:ext>
          </a:extLst>
        </xdr:cNvPr>
        <xdr:cNvCxnSpPr/>
      </xdr:nvCxnSpPr>
      <xdr:spPr>
        <a:xfrm>
          <a:off x="2720340" y="5162550"/>
          <a:ext cx="899160" cy="2305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30</xdr:row>
      <xdr:rowOff>62865</xdr:rowOff>
    </xdr:from>
    <xdr:to>
      <xdr:col>5</xdr:col>
      <xdr:colOff>571500</xdr:colOff>
      <xdr:row>31</xdr:row>
      <xdr:rowOff>74295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3A1F2364-3FFE-4FB3-AD2F-FCEADC7201E1}"/>
            </a:ext>
          </a:extLst>
        </xdr:cNvPr>
        <xdr:cNvCxnSpPr/>
      </xdr:nvCxnSpPr>
      <xdr:spPr>
        <a:xfrm flipV="1">
          <a:off x="2720340" y="5492115"/>
          <a:ext cx="89916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31</xdr:row>
      <xdr:rowOff>74295</xdr:rowOff>
    </xdr:from>
    <xdr:to>
      <xdr:col>5</xdr:col>
      <xdr:colOff>586740</xdr:colOff>
      <xdr:row>31</xdr:row>
      <xdr:rowOff>74295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E6899D32-DBAD-462E-BFCC-7F10E1D41D7A}"/>
            </a:ext>
          </a:extLst>
        </xdr:cNvPr>
        <xdr:cNvCxnSpPr/>
      </xdr:nvCxnSpPr>
      <xdr:spPr>
        <a:xfrm>
          <a:off x="2726055" y="5684520"/>
          <a:ext cx="9086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31</xdr:row>
      <xdr:rowOff>74295</xdr:rowOff>
    </xdr:from>
    <xdr:to>
      <xdr:col>5</xdr:col>
      <xdr:colOff>571500</xdr:colOff>
      <xdr:row>32</xdr:row>
      <xdr:rowOff>142875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ED1680A0-2280-485F-9039-E33A9B8769D3}"/>
            </a:ext>
          </a:extLst>
        </xdr:cNvPr>
        <xdr:cNvCxnSpPr/>
      </xdr:nvCxnSpPr>
      <xdr:spPr>
        <a:xfrm>
          <a:off x="2724150" y="5684520"/>
          <a:ext cx="895350" cy="2495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440055</xdr:colOff>
      <xdr:row>1</xdr:row>
      <xdr:rowOff>168592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F51F987-4039-7EED-C64F-5CD60B86103F}"/>
            </a:ext>
          </a:extLst>
        </xdr:cNvPr>
        <xdr:cNvSpPr txBox="1"/>
      </xdr:nvSpPr>
      <xdr:spPr>
        <a:xfrm>
          <a:off x="6136005" y="3686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twoCellAnchor>
    <xdr:from>
      <xdr:col>4</xdr:col>
      <xdr:colOff>285750</xdr:colOff>
      <xdr:row>13</xdr:row>
      <xdr:rowOff>93345</xdr:rowOff>
    </xdr:from>
    <xdr:to>
      <xdr:col>5</xdr:col>
      <xdr:colOff>571500</xdr:colOff>
      <xdr:row>14</xdr:row>
      <xdr:rowOff>144780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9DECFC7-7A00-4785-BAD2-A3D006B1E4D4}"/>
            </a:ext>
          </a:extLst>
        </xdr:cNvPr>
        <xdr:cNvCxnSpPr/>
      </xdr:nvCxnSpPr>
      <xdr:spPr>
        <a:xfrm>
          <a:off x="2828925" y="3150870"/>
          <a:ext cx="962025" cy="2419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11</xdr:row>
      <xdr:rowOff>38100</xdr:rowOff>
    </xdr:from>
    <xdr:to>
      <xdr:col>2</xdr:col>
      <xdr:colOff>15240</xdr:colOff>
      <xdr:row>16</xdr:row>
      <xdr:rowOff>85725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F7030E3-C877-4050-A6F9-E503E9B865ED}"/>
            </a:ext>
          </a:extLst>
        </xdr:cNvPr>
        <xdr:cNvCxnSpPr/>
      </xdr:nvCxnSpPr>
      <xdr:spPr>
        <a:xfrm flipV="1">
          <a:off x="274320" y="2141220"/>
          <a:ext cx="105537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278130</xdr:colOff>
      <xdr:row>16</xdr:row>
      <xdr:rowOff>91440</xdr:rowOff>
    </xdr:from>
    <xdr:to>
      <xdr:col>1</xdr:col>
      <xdr:colOff>590550</xdr:colOff>
      <xdr:row>19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7D09566-46C1-4E59-85C1-7058DFA3DE53}"/>
            </a:ext>
          </a:extLst>
        </xdr:cNvPr>
        <xdr:cNvCxnSpPr/>
      </xdr:nvCxnSpPr>
      <xdr:spPr>
        <a:xfrm>
          <a:off x="276225" y="3150870"/>
          <a:ext cx="912495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16</xdr:row>
      <xdr:rowOff>95250</xdr:rowOff>
    </xdr:from>
    <xdr:to>
      <xdr:col>1</xdr:col>
      <xdr:colOff>561975</xdr:colOff>
      <xdr:row>28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086B8ED-7FE9-4CAA-B2F3-AA2885D61492}"/>
            </a:ext>
          </a:extLst>
        </xdr:cNvPr>
        <xdr:cNvCxnSpPr/>
      </xdr:nvCxnSpPr>
      <xdr:spPr>
        <a:xfrm>
          <a:off x="289560" y="3154680"/>
          <a:ext cx="868680" cy="2286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253365</xdr:colOff>
      <xdr:row>7</xdr:row>
      <xdr:rowOff>104775</xdr:rowOff>
    </xdr:from>
    <xdr:to>
      <xdr:col>3</xdr:col>
      <xdr:colOff>600075</xdr:colOff>
      <xdr:row>10</xdr:row>
      <xdr:rowOff>97155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6CF927C-C52B-4B01-B436-B5AC494736BE}"/>
            </a:ext>
          </a:extLst>
        </xdr:cNvPr>
        <xdr:cNvCxnSpPr/>
      </xdr:nvCxnSpPr>
      <xdr:spPr>
        <a:xfrm flipV="1">
          <a:off x="1565910" y="1447800"/>
          <a:ext cx="986790" cy="565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249555</xdr:colOff>
      <xdr:row>10</xdr:row>
      <xdr:rowOff>91440</xdr:rowOff>
    </xdr:from>
    <xdr:to>
      <xdr:col>4</xdr:col>
      <xdr:colOff>0</xdr:colOff>
      <xdr:row>10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FA1FFAB-4AD7-471E-AA53-0F50807B2632}"/>
            </a:ext>
          </a:extLst>
        </xdr:cNvPr>
        <xdr:cNvCxnSpPr/>
      </xdr:nvCxnSpPr>
      <xdr:spPr>
        <a:xfrm>
          <a:off x="1564005" y="2007870"/>
          <a:ext cx="98869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249555</xdr:colOff>
      <xdr:row>10</xdr:row>
      <xdr:rowOff>87630</xdr:rowOff>
    </xdr:from>
    <xdr:to>
      <xdr:col>3</xdr:col>
      <xdr:colOff>561975</xdr:colOff>
      <xdr:row>13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4DF974D-3D65-4C44-A49B-14E47E7A2DC2}"/>
            </a:ext>
          </a:extLst>
        </xdr:cNvPr>
        <xdr:cNvCxnSpPr/>
      </xdr:nvCxnSpPr>
      <xdr:spPr>
        <a:xfrm>
          <a:off x="1564005" y="1998345"/>
          <a:ext cx="958215" cy="5695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19</xdr:row>
      <xdr:rowOff>104775</xdr:rowOff>
    </xdr:from>
    <xdr:to>
      <xdr:col>3</xdr:col>
      <xdr:colOff>573405</xdr:colOff>
      <xdr:row>22</xdr:row>
      <xdr:rowOff>104775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F1F0C99-6DA6-40A6-8DEE-062310ED9971}"/>
            </a:ext>
          </a:extLst>
        </xdr:cNvPr>
        <xdr:cNvCxnSpPr/>
      </xdr:nvCxnSpPr>
      <xdr:spPr>
        <a:xfrm>
          <a:off x="1579245" y="3733800"/>
          <a:ext cx="95250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28</xdr:row>
      <xdr:rowOff>123825</xdr:rowOff>
    </xdr:from>
    <xdr:to>
      <xdr:col>3</xdr:col>
      <xdr:colOff>586740</xdr:colOff>
      <xdr:row>31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BB3EA5E-1D04-427A-9893-F578B07CC71A}"/>
            </a:ext>
          </a:extLst>
        </xdr:cNvPr>
        <xdr:cNvCxnSpPr/>
      </xdr:nvCxnSpPr>
      <xdr:spPr>
        <a:xfrm>
          <a:off x="1579245" y="5463540"/>
          <a:ext cx="969645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16</xdr:row>
      <xdr:rowOff>76200</xdr:rowOff>
    </xdr:from>
    <xdr:to>
      <xdr:col>3</xdr:col>
      <xdr:colOff>571500</xdr:colOff>
      <xdr:row>19</xdr:row>
      <xdr:rowOff>102870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264428F-6272-4EEB-B6C8-9C454A247900}"/>
            </a:ext>
          </a:extLst>
        </xdr:cNvPr>
        <xdr:cNvCxnSpPr/>
      </xdr:nvCxnSpPr>
      <xdr:spPr>
        <a:xfrm flipV="1">
          <a:off x="1579245" y="3131820"/>
          <a:ext cx="95059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19</xdr:row>
      <xdr:rowOff>102870</xdr:rowOff>
    </xdr:from>
    <xdr:to>
      <xdr:col>3</xdr:col>
      <xdr:colOff>592455</xdr:colOff>
      <xdr:row>19</xdr:row>
      <xdr:rowOff>106680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5D240FB-8D18-44C4-BAC3-CF3EC85700BC}"/>
            </a:ext>
          </a:extLst>
        </xdr:cNvPr>
        <xdr:cNvCxnSpPr/>
      </xdr:nvCxnSpPr>
      <xdr:spPr>
        <a:xfrm flipV="1">
          <a:off x="1579245" y="3731895"/>
          <a:ext cx="97536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268605</xdr:colOff>
      <xdr:row>25</xdr:row>
      <xdr:rowOff>76200</xdr:rowOff>
    </xdr:from>
    <xdr:to>
      <xdr:col>4</xdr:col>
      <xdr:colOff>9525</xdr:colOff>
      <xdr:row>28</xdr:row>
      <xdr:rowOff>125730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0E0EE36-8192-4F5A-9EF1-C8BD15F35C1D}"/>
            </a:ext>
          </a:extLst>
        </xdr:cNvPr>
        <xdr:cNvCxnSpPr/>
      </xdr:nvCxnSpPr>
      <xdr:spPr>
        <a:xfrm flipV="1">
          <a:off x="1579245" y="4846320"/>
          <a:ext cx="981075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281940</xdr:colOff>
      <xdr:row>28</xdr:row>
      <xdr:rowOff>114300</xdr:rowOff>
    </xdr:from>
    <xdr:to>
      <xdr:col>3</xdr:col>
      <xdr:colOff>590550</xdr:colOff>
      <xdr:row>28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9689214-2EA1-4684-8418-5E894B3A4820}"/>
            </a:ext>
          </a:extLst>
        </xdr:cNvPr>
        <xdr:cNvCxnSpPr/>
      </xdr:nvCxnSpPr>
      <xdr:spPr>
        <a:xfrm>
          <a:off x="1596390" y="5455920"/>
          <a:ext cx="9563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6</xdr:row>
      <xdr:rowOff>49530</xdr:rowOff>
    </xdr:from>
    <xdr:to>
      <xdr:col>5</xdr:col>
      <xdr:colOff>571500</xdr:colOff>
      <xdr:row>7</xdr:row>
      <xdr:rowOff>72390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C5AC1F7-CD40-456F-B341-29D752C9568F}"/>
            </a:ext>
          </a:extLst>
        </xdr:cNvPr>
        <xdr:cNvCxnSpPr/>
      </xdr:nvCxnSpPr>
      <xdr:spPr>
        <a:xfrm flipV="1">
          <a:off x="2842260" y="1198245"/>
          <a:ext cx="960120" cy="215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291465</xdr:colOff>
      <xdr:row>7</xdr:row>
      <xdr:rowOff>62865</xdr:rowOff>
    </xdr:from>
    <xdr:to>
      <xdr:col>5</xdr:col>
      <xdr:colOff>582930</xdr:colOff>
      <xdr:row>7</xdr:row>
      <xdr:rowOff>64770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CB9CB34-6E66-46CD-A839-435F6DE6DF59}"/>
            </a:ext>
          </a:extLst>
        </xdr:cNvPr>
        <xdr:cNvCxnSpPr/>
      </xdr:nvCxnSpPr>
      <xdr:spPr>
        <a:xfrm>
          <a:off x="2846070" y="1405890"/>
          <a:ext cx="965835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7</xdr:row>
      <xdr:rowOff>78105</xdr:rowOff>
    </xdr:from>
    <xdr:to>
      <xdr:col>5</xdr:col>
      <xdr:colOff>571500</xdr:colOff>
      <xdr:row>8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7EFD0C1-DB30-4A8F-B6C5-15AA30BD5B5B}"/>
            </a:ext>
          </a:extLst>
        </xdr:cNvPr>
        <xdr:cNvCxnSpPr/>
      </xdr:nvCxnSpPr>
      <xdr:spPr>
        <a:xfrm>
          <a:off x="2838450" y="1419225"/>
          <a:ext cx="963930" cy="2266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9</xdr:row>
      <xdr:rowOff>81915</xdr:rowOff>
    </xdr:from>
    <xdr:to>
      <xdr:col>5</xdr:col>
      <xdr:colOff>571500</xdr:colOff>
      <xdr:row>10</xdr:row>
      <xdr:rowOff>81915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84C9F5A-5143-4F28-8994-23A49D536A53}"/>
            </a:ext>
          </a:extLst>
        </xdr:cNvPr>
        <xdr:cNvCxnSpPr/>
      </xdr:nvCxnSpPr>
      <xdr:spPr>
        <a:xfrm flipV="1">
          <a:off x="2842260" y="1802130"/>
          <a:ext cx="9601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10</xdr:row>
      <xdr:rowOff>81915</xdr:rowOff>
    </xdr:from>
    <xdr:to>
      <xdr:col>5</xdr:col>
      <xdr:colOff>590550</xdr:colOff>
      <xdr:row>10</xdr:row>
      <xdr:rowOff>81915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6268E7A-496C-4D75-98F1-85D5F8C5CD63}"/>
            </a:ext>
          </a:extLst>
        </xdr:cNvPr>
        <xdr:cNvCxnSpPr/>
      </xdr:nvCxnSpPr>
      <xdr:spPr>
        <a:xfrm>
          <a:off x="2840355" y="1992630"/>
          <a:ext cx="9848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10</xdr:row>
      <xdr:rowOff>81915</xdr:rowOff>
    </xdr:from>
    <xdr:to>
      <xdr:col>5</xdr:col>
      <xdr:colOff>571500</xdr:colOff>
      <xdr:row>11</xdr:row>
      <xdr:rowOff>120015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44E16B0-8B59-4ECB-AE56-1749C525D70B}"/>
            </a:ext>
          </a:extLst>
        </xdr:cNvPr>
        <xdr:cNvCxnSpPr/>
      </xdr:nvCxnSpPr>
      <xdr:spPr>
        <a:xfrm>
          <a:off x="2838450" y="1992630"/>
          <a:ext cx="96393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15</xdr:row>
      <xdr:rowOff>72390</xdr:rowOff>
    </xdr:from>
    <xdr:to>
      <xdr:col>5</xdr:col>
      <xdr:colOff>571500</xdr:colOff>
      <xdr:row>16</xdr:row>
      <xdr:rowOff>93345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1D3CD37-EB4C-45D7-B46E-59C054C09510}"/>
            </a:ext>
          </a:extLst>
        </xdr:cNvPr>
        <xdr:cNvCxnSpPr/>
      </xdr:nvCxnSpPr>
      <xdr:spPr>
        <a:xfrm flipV="1">
          <a:off x="2838450" y="2937510"/>
          <a:ext cx="963930" cy="215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16</xdr:row>
      <xdr:rowOff>93345</xdr:rowOff>
    </xdr:from>
    <xdr:to>
      <xdr:col>5</xdr:col>
      <xdr:colOff>586740</xdr:colOff>
      <xdr:row>16</xdr:row>
      <xdr:rowOff>93345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0847D4F-48CD-4CB0-9E07-287171F0595F}"/>
            </a:ext>
          </a:extLst>
        </xdr:cNvPr>
        <xdr:cNvCxnSpPr/>
      </xdr:nvCxnSpPr>
      <xdr:spPr>
        <a:xfrm>
          <a:off x="2844165" y="3152775"/>
          <a:ext cx="9772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</xdr:row>
      <xdr:rowOff>93345</xdr:rowOff>
    </xdr:from>
    <xdr:to>
      <xdr:col>5</xdr:col>
      <xdr:colOff>571500</xdr:colOff>
      <xdr:row>17</xdr:row>
      <xdr:rowOff>144780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4BA1FBE-4730-425C-A65E-50ADFF2B5FA2}"/>
            </a:ext>
          </a:extLst>
        </xdr:cNvPr>
        <xdr:cNvCxnSpPr/>
      </xdr:nvCxnSpPr>
      <xdr:spPr>
        <a:xfrm>
          <a:off x="2842260" y="3152775"/>
          <a:ext cx="960120" cy="240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18</xdr:row>
      <xdr:rowOff>74295</xdr:rowOff>
    </xdr:from>
    <xdr:to>
      <xdr:col>5</xdr:col>
      <xdr:colOff>571500</xdr:colOff>
      <xdr:row>19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B85E62A-E089-4131-9C37-A497FBC8631D}"/>
            </a:ext>
          </a:extLst>
        </xdr:cNvPr>
        <xdr:cNvCxnSpPr/>
      </xdr:nvCxnSpPr>
      <xdr:spPr>
        <a:xfrm flipV="1">
          <a:off x="2838450" y="3510915"/>
          <a:ext cx="963930" cy="215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19</xdr:row>
      <xdr:rowOff>95250</xdr:rowOff>
    </xdr:from>
    <xdr:to>
      <xdr:col>5</xdr:col>
      <xdr:colOff>586740</xdr:colOff>
      <xdr:row>19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06C0FF4-6B6B-4543-82B1-47B33FF07939}"/>
            </a:ext>
          </a:extLst>
        </xdr:cNvPr>
        <xdr:cNvCxnSpPr/>
      </xdr:nvCxnSpPr>
      <xdr:spPr>
        <a:xfrm>
          <a:off x="2844165" y="3726180"/>
          <a:ext cx="9772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19</xdr:row>
      <xdr:rowOff>95250</xdr:rowOff>
    </xdr:from>
    <xdr:to>
      <xdr:col>5</xdr:col>
      <xdr:colOff>571500</xdr:colOff>
      <xdr:row>20</xdr:row>
      <xdr:rowOff>133350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0CAEBF4-8AC5-4D98-B0D7-1C3C214F4BF1}"/>
            </a:ext>
          </a:extLst>
        </xdr:cNvPr>
        <xdr:cNvCxnSpPr/>
      </xdr:nvCxnSpPr>
      <xdr:spPr>
        <a:xfrm>
          <a:off x="2842260" y="3726180"/>
          <a:ext cx="96012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21</xdr:row>
      <xdr:rowOff>93345</xdr:rowOff>
    </xdr:from>
    <xdr:to>
      <xdr:col>5</xdr:col>
      <xdr:colOff>571500</xdr:colOff>
      <xdr:row>22</xdr:row>
      <xdr:rowOff>93345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F5F68AB0-CC32-4C77-91B7-E9DBD24CD017}"/>
            </a:ext>
          </a:extLst>
        </xdr:cNvPr>
        <xdr:cNvCxnSpPr/>
      </xdr:nvCxnSpPr>
      <xdr:spPr>
        <a:xfrm flipV="1">
          <a:off x="2838450" y="4105275"/>
          <a:ext cx="96393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22</xdr:row>
      <xdr:rowOff>93345</xdr:rowOff>
    </xdr:from>
    <xdr:to>
      <xdr:col>5</xdr:col>
      <xdr:colOff>586740</xdr:colOff>
      <xdr:row>22</xdr:row>
      <xdr:rowOff>93345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A3408C3-6C92-4249-99AD-E83E51962651}"/>
            </a:ext>
          </a:extLst>
        </xdr:cNvPr>
        <xdr:cNvCxnSpPr/>
      </xdr:nvCxnSpPr>
      <xdr:spPr>
        <a:xfrm>
          <a:off x="2844165" y="4295775"/>
          <a:ext cx="9772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22</xdr:row>
      <xdr:rowOff>93345</xdr:rowOff>
    </xdr:from>
    <xdr:to>
      <xdr:col>5</xdr:col>
      <xdr:colOff>571500</xdr:colOff>
      <xdr:row>23</xdr:row>
      <xdr:rowOff>148590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A9AB66C-CFA5-49CD-A4FD-E6F62641B4A7}"/>
            </a:ext>
          </a:extLst>
        </xdr:cNvPr>
        <xdr:cNvCxnSpPr/>
      </xdr:nvCxnSpPr>
      <xdr:spPr>
        <a:xfrm>
          <a:off x="2842260" y="4295775"/>
          <a:ext cx="960120" cy="2419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24</xdr:row>
      <xdr:rowOff>91440</xdr:rowOff>
    </xdr:from>
    <xdr:to>
      <xdr:col>5</xdr:col>
      <xdr:colOff>571500</xdr:colOff>
      <xdr:row>25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DA76D2D-8F95-4958-9594-C52AAA462154}"/>
            </a:ext>
          </a:extLst>
        </xdr:cNvPr>
        <xdr:cNvCxnSpPr/>
      </xdr:nvCxnSpPr>
      <xdr:spPr>
        <a:xfrm flipV="1">
          <a:off x="2838450" y="4674870"/>
          <a:ext cx="96393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25</xdr:row>
      <xdr:rowOff>91440</xdr:rowOff>
    </xdr:from>
    <xdr:to>
      <xdr:col>5</xdr:col>
      <xdr:colOff>586740</xdr:colOff>
      <xdr:row>25</xdr:row>
      <xdr:rowOff>91440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52154B3-3024-4EBA-A09E-206D7658B39E}"/>
            </a:ext>
          </a:extLst>
        </xdr:cNvPr>
        <xdr:cNvCxnSpPr/>
      </xdr:nvCxnSpPr>
      <xdr:spPr>
        <a:xfrm>
          <a:off x="2844165" y="4865370"/>
          <a:ext cx="9772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25</xdr:row>
      <xdr:rowOff>91440</xdr:rowOff>
    </xdr:from>
    <xdr:to>
      <xdr:col>5</xdr:col>
      <xdr:colOff>571500</xdr:colOff>
      <xdr:row>26</xdr:row>
      <xdr:rowOff>154305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0210130-F9B7-4F89-AA49-F49406FDC8ED}"/>
            </a:ext>
          </a:extLst>
        </xdr:cNvPr>
        <xdr:cNvCxnSpPr/>
      </xdr:nvCxnSpPr>
      <xdr:spPr>
        <a:xfrm>
          <a:off x="2842260" y="4865370"/>
          <a:ext cx="960120" cy="2495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27</xdr:row>
      <xdr:rowOff>95250</xdr:rowOff>
    </xdr:from>
    <xdr:to>
      <xdr:col>5</xdr:col>
      <xdr:colOff>571500</xdr:colOff>
      <xdr:row>28</xdr:row>
      <xdr:rowOff>95250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F7E306F-D7B6-43B0-851C-129D76191105}"/>
            </a:ext>
          </a:extLst>
        </xdr:cNvPr>
        <xdr:cNvCxnSpPr/>
      </xdr:nvCxnSpPr>
      <xdr:spPr>
        <a:xfrm flipV="1">
          <a:off x="2842260" y="5250180"/>
          <a:ext cx="9601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28</xdr:row>
      <xdr:rowOff>95250</xdr:rowOff>
    </xdr:from>
    <xdr:to>
      <xdr:col>5</xdr:col>
      <xdr:colOff>590550</xdr:colOff>
      <xdr:row>28</xdr:row>
      <xdr:rowOff>95250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AB0DAB1-E7BB-48AF-A4F8-8F7AD33FA87D}"/>
            </a:ext>
          </a:extLst>
        </xdr:cNvPr>
        <xdr:cNvCxnSpPr/>
      </xdr:nvCxnSpPr>
      <xdr:spPr>
        <a:xfrm>
          <a:off x="2840355" y="5440680"/>
          <a:ext cx="9848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28</xdr:row>
      <xdr:rowOff>95250</xdr:rowOff>
    </xdr:from>
    <xdr:to>
      <xdr:col>5</xdr:col>
      <xdr:colOff>571500</xdr:colOff>
      <xdr:row>29</xdr:row>
      <xdr:rowOff>144780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8E0983F-17D6-464C-A1E9-B726B5EA5007}"/>
            </a:ext>
          </a:extLst>
        </xdr:cNvPr>
        <xdr:cNvCxnSpPr/>
      </xdr:nvCxnSpPr>
      <xdr:spPr>
        <a:xfrm>
          <a:off x="2838450" y="5440680"/>
          <a:ext cx="96393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30</xdr:row>
      <xdr:rowOff>62865</xdr:rowOff>
    </xdr:from>
    <xdr:to>
      <xdr:col>5</xdr:col>
      <xdr:colOff>571500</xdr:colOff>
      <xdr:row>31</xdr:row>
      <xdr:rowOff>74295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DB1F4E4-840F-42D6-8E9F-D416A90E8A67}"/>
            </a:ext>
          </a:extLst>
        </xdr:cNvPr>
        <xdr:cNvCxnSpPr/>
      </xdr:nvCxnSpPr>
      <xdr:spPr>
        <a:xfrm flipV="1">
          <a:off x="2838450" y="5787390"/>
          <a:ext cx="96393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31</xdr:row>
      <xdr:rowOff>74295</xdr:rowOff>
    </xdr:from>
    <xdr:to>
      <xdr:col>5</xdr:col>
      <xdr:colOff>586740</xdr:colOff>
      <xdr:row>31</xdr:row>
      <xdr:rowOff>74295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3E3D1B8D-3537-4741-B79C-7DAC1D6DBF0A}"/>
            </a:ext>
          </a:extLst>
        </xdr:cNvPr>
        <xdr:cNvCxnSpPr/>
      </xdr:nvCxnSpPr>
      <xdr:spPr>
        <a:xfrm>
          <a:off x="2844165" y="5987415"/>
          <a:ext cx="9772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31</xdr:row>
      <xdr:rowOff>74295</xdr:rowOff>
    </xdr:from>
    <xdr:to>
      <xdr:col>5</xdr:col>
      <xdr:colOff>571500</xdr:colOff>
      <xdr:row>32</xdr:row>
      <xdr:rowOff>142875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8E6CF4B-A324-470E-8B63-60A1764F2F5E}"/>
            </a:ext>
          </a:extLst>
        </xdr:cNvPr>
        <xdr:cNvCxnSpPr/>
      </xdr:nvCxnSpPr>
      <xdr:spPr>
        <a:xfrm>
          <a:off x="2842260" y="5987415"/>
          <a:ext cx="960120" cy="2609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440055</xdr:colOff>
      <xdr:row>1</xdr:row>
      <xdr:rowOff>168592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C4A3C1-D1EB-4811-9F8F-F4D3E34B91E0}"/>
            </a:ext>
          </a:extLst>
        </xdr:cNvPr>
        <xdr:cNvSpPr txBox="1"/>
      </xdr:nvSpPr>
      <xdr:spPr>
        <a:xfrm>
          <a:off x="7058025" y="3705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twoCellAnchor>
    <xdr:from>
      <xdr:col>4</xdr:col>
      <xdr:colOff>285750</xdr:colOff>
      <xdr:row>13</xdr:row>
      <xdr:rowOff>93345</xdr:rowOff>
    </xdr:from>
    <xdr:to>
      <xdr:col>5</xdr:col>
      <xdr:colOff>571500</xdr:colOff>
      <xdr:row>14</xdr:row>
      <xdr:rowOff>144780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6F97724-B855-4808-AD8C-5F22F1B113F6}"/>
            </a:ext>
          </a:extLst>
        </xdr:cNvPr>
        <xdr:cNvCxnSpPr/>
      </xdr:nvCxnSpPr>
      <xdr:spPr>
        <a:xfrm>
          <a:off x="2842260" y="2581275"/>
          <a:ext cx="960120" cy="240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145</xdr:row>
      <xdr:rowOff>106680</xdr:rowOff>
    </xdr:from>
    <xdr:to>
      <xdr:col>2</xdr:col>
      <xdr:colOff>7620</xdr:colOff>
      <xdr:row>154</xdr:row>
      <xdr:rowOff>85725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8574191-874F-4C6A-A26D-C24525CB851C}"/>
            </a:ext>
          </a:extLst>
        </xdr:cNvPr>
        <xdr:cNvCxnSpPr/>
      </xdr:nvCxnSpPr>
      <xdr:spPr>
        <a:xfrm flipV="1">
          <a:off x="276225" y="2499360"/>
          <a:ext cx="1194435" cy="16249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278130</xdr:colOff>
      <xdr:row>154</xdr:row>
      <xdr:rowOff>91440</xdr:rowOff>
    </xdr:from>
    <xdr:to>
      <xdr:col>1</xdr:col>
      <xdr:colOff>590550</xdr:colOff>
      <xdr:row>157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EB36D7B-7BFA-469C-822A-EB8D1FB02909}"/>
            </a:ext>
          </a:extLst>
        </xdr:cNvPr>
        <xdr:cNvCxnSpPr/>
      </xdr:nvCxnSpPr>
      <xdr:spPr>
        <a:xfrm>
          <a:off x="278130" y="3032760"/>
          <a:ext cx="92202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154</xdr:row>
      <xdr:rowOff>95250</xdr:rowOff>
    </xdr:from>
    <xdr:to>
      <xdr:col>1</xdr:col>
      <xdr:colOff>561975</xdr:colOff>
      <xdr:row>166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03BCFB3-0C8D-4DA3-9A6B-B99FF6F6D59B}"/>
            </a:ext>
          </a:extLst>
        </xdr:cNvPr>
        <xdr:cNvCxnSpPr/>
      </xdr:nvCxnSpPr>
      <xdr:spPr>
        <a:xfrm>
          <a:off x="285750" y="3036570"/>
          <a:ext cx="885825" cy="21945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133</xdr:row>
      <xdr:rowOff>76200</xdr:rowOff>
    </xdr:from>
    <xdr:to>
      <xdr:col>4</xdr:col>
      <xdr:colOff>22860</xdr:colOff>
      <xdr:row>145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202189A-BC4B-4113-A534-B14B07F4B0B7}"/>
            </a:ext>
          </a:extLst>
        </xdr:cNvPr>
        <xdr:cNvCxnSpPr/>
      </xdr:nvCxnSpPr>
      <xdr:spPr>
        <a:xfrm flipV="1">
          <a:off x="1554480" y="2468880"/>
          <a:ext cx="1181100" cy="11201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396240</xdr:colOff>
      <xdr:row>145</xdr:row>
      <xdr:rowOff>91440</xdr:rowOff>
    </xdr:from>
    <xdr:to>
      <xdr:col>4</xdr:col>
      <xdr:colOff>0</xdr:colOff>
      <xdr:row>145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C8BD0B-F0F4-455E-B3A8-73D6082508B4}"/>
            </a:ext>
          </a:extLst>
        </xdr:cNvPr>
        <xdr:cNvCxnSpPr/>
      </xdr:nvCxnSpPr>
      <xdr:spPr>
        <a:xfrm>
          <a:off x="1569720" y="3398520"/>
          <a:ext cx="114300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388620</xdr:colOff>
      <xdr:row>145</xdr:row>
      <xdr:rowOff>99060</xdr:rowOff>
    </xdr:from>
    <xdr:to>
      <xdr:col>3</xdr:col>
      <xdr:colOff>561975</xdr:colOff>
      <xdr:row>151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94E8B8D-FC83-41BB-A238-820188C0D3C1}"/>
            </a:ext>
          </a:extLst>
        </xdr:cNvPr>
        <xdr:cNvCxnSpPr/>
      </xdr:nvCxnSpPr>
      <xdr:spPr>
        <a:xfrm>
          <a:off x="1562100" y="3406140"/>
          <a:ext cx="981075" cy="9010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157</xdr:row>
      <xdr:rowOff>99060</xdr:rowOff>
    </xdr:from>
    <xdr:to>
      <xdr:col>3</xdr:col>
      <xdr:colOff>573405</xdr:colOff>
      <xdr:row>160</xdr:row>
      <xdr:rowOff>104775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619505F-344E-4BD7-821B-2E4083090A46}"/>
            </a:ext>
          </a:extLst>
        </xdr:cNvPr>
        <xdr:cNvCxnSpPr/>
      </xdr:nvCxnSpPr>
      <xdr:spPr>
        <a:xfrm>
          <a:off x="1607820" y="5600700"/>
          <a:ext cx="946785" cy="554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166</xdr:row>
      <xdr:rowOff>121920</xdr:rowOff>
    </xdr:from>
    <xdr:to>
      <xdr:col>3</xdr:col>
      <xdr:colOff>548640</xdr:colOff>
      <xdr:row>169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69C2F9F-7043-4679-A3B6-ED81943DD331}"/>
            </a:ext>
          </a:extLst>
        </xdr:cNvPr>
        <xdr:cNvCxnSpPr/>
      </xdr:nvCxnSpPr>
      <xdr:spPr>
        <a:xfrm>
          <a:off x="1630680" y="7269480"/>
          <a:ext cx="89916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154</xdr:row>
      <xdr:rowOff>76200</xdr:rowOff>
    </xdr:from>
    <xdr:to>
      <xdr:col>3</xdr:col>
      <xdr:colOff>571500</xdr:colOff>
      <xdr:row>157</xdr:row>
      <xdr:rowOff>91440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B1C0416-C595-4AA9-83B7-7C5354E651C8}"/>
            </a:ext>
          </a:extLst>
        </xdr:cNvPr>
        <xdr:cNvCxnSpPr/>
      </xdr:nvCxnSpPr>
      <xdr:spPr>
        <a:xfrm flipV="1">
          <a:off x="1592580" y="5029200"/>
          <a:ext cx="96012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</xdr:colOff>
      <xdr:row>157</xdr:row>
      <xdr:rowOff>102870</xdr:rowOff>
    </xdr:from>
    <xdr:to>
      <xdr:col>3</xdr:col>
      <xdr:colOff>592455</xdr:colOff>
      <xdr:row>157</xdr:row>
      <xdr:rowOff>106680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A054CBA-E818-4831-B66F-92C4EBBEC23F}"/>
            </a:ext>
          </a:extLst>
        </xdr:cNvPr>
        <xdr:cNvCxnSpPr/>
      </xdr:nvCxnSpPr>
      <xdr:spPr>
        <a:xfrm flipV="1">
          <a:off x="1615440" y="5604510"/>
          <a:ext cx="95821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480060</xdr:colOff>
      <xdr:row>163</xdr:row>
      <xdr:rowOff>83820</xdr:rowOff>
    </xdr:from>
    <xdr:to>
      <xdr:col>4</xdr:col>
      <xdr:colOff>9525</xdr:colOff>
      <xdr:row>166</xdr:row>
      <xdr:rowOff>129540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D032A99-6B44-4BD7-9E50-F749E459CF2F}"/>
            </a:ext>
          </a:extLst>
        </xdr:cNvPr>
        <xdr:cNvCxnSpPr/>
      </xdr:nvCxnSpPr>
      <xdr:spPr>
        <a:xfrm flipV="1">
          <a:off x="1653540" y="6682740"/>
          <a:ext cx="1068705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166</xdr:row>
      <xdr:rowOff>114300</xdr:rowOff>
    </xdr:from>
    <xdr:to>
      <xdr:col>3</xdr:col>
      <xdr:colOff>590550</xdr:colOff>
      <xdr:row>166</xdr:row>
      <xdr:rowOff>121920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F8B4AE3-1E31-4EC1-A8ED-70700F0DF896}"/>
            </a:ext>
          </a:extLst>
        </xdr:cNvPr>
        <xdr:cNvCxnSpPr/>
      </xdr:nvCxnSpPr>
      <xdr:spPr>
        <a:xfrm flipV="1">
          <a:off x="1630680" y="7261860"/>
          <a:ext cx="94107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14</xdr:row>
      <xdr:rowOff>76200</xdr:rowOff>
    </xdr:from>
    <xdr:to>
      <xdr:col>5</xdr:col>
      <xdr:colOff>419100</xdr:colOff>
      <xdr:row>133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722DC2E-E14F-49A1-8C71-1C910E63900E}"/>
            </a:ext>
          </a:extLst>
        </xdr:cNvPr>
        <xdr:cNvCxnSpPr/>
      </xdr:nvCxnSpPr>
      <xdr:spPr>
        <a:xfrm flipV="1">
          <a:off x="3124200" y="2103120"/>
          <a:ext cx="441960" cy="548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133</xdr:row>
      <xdr:rowOff>83820</xdr:rowOff>
    </xdr:from>
    <xdr:to>
      <xdr:col>6</xdr:col>
      <xdr:colOff>7620</xdr:colOff>
      <xdr:row>133</xdr:row>
      <xdr:rowOff>83820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D0799EB-7518-4711-A9D6-D6AD6737C512}"/>
            </a:ext>
          </a:extLst>
        </xdr:cNvPr>
        <xdr:cNvCxnSpPr/>
      </xdr:nvCxnSpPr>
      <xdr:spPr>
        <a:xfrm>
          <a:off x="3131820" y="2476500"/>
          <a:ext cx="457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133</xdr:row>
      <xdr:rowOff>91440</xdr:rowOff>
    </xdr:from>
    <xdr:to>
      <xdr:col>5</xdr:col>
      <xdr:colOff>419100</xdr:colOff>
      <xdr:row>139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B27B918-49C6-4B47-9B8F-F6E1DC3E8475}"/>
            </a:ext>
          </a:extLst>
        </xdr:cNvPr>
        <xdr:cNvCxnSpPr/>
      </xdr:nvCxnSpPr>
      <xdr:spPr>
        <a:xfrm>
          <a:off x="3147060" y="2484120"/>
          <a:ext cx="41910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142</xdr:row>
      <xdr:rowOff>45720</xdr:rowOff>
    </xdr:from>
    <xdr:to>
      <xdr:col>5</xdr:col>
      <xdr:colOff>426720</xdr:colOff>
      <xdr:row>145</xdr:row>
      <xdr:rowOff>83820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EB371A2-60EF-443A-8D37-7734DE0374C1}"/>
            </a:ext>
          </a:extLst>
        </xdr:cNvPr>
        <xdr:cNvCxnSpPr/>
      </xdr:nvCxnSpPr>
      <xdr:spPr>
        <a:xfrm flipV="1">
          <a:off x="3208020" y="3535680"/>
          <a:ext cx="36576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145</xdr:row>
      <xdr:rowOff>81915</xdr:rowOff>
    </xdr:from>
    <xdr:to>
      <xdr:col>5</xdr:col>
      <xdr:colOff>430530</xdr:colOff>
      <xdr:row>145</xdr:row>
      <xdr:rowOff>91440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02A062D-28B7-4A50-9D3C-9FB691E75CEA}"/>
            </a:ext>
          </a:extLst>
        </xdr:cNvPr>
        <xdr:cNvCxnSpPr/>
      </xdr:nvCxnSpPr>
      <xdr:spPr>
        <a:xfrm flipV="1">
          <a:off x="3169920" y="3388995"/>
          <a:ext cx="40767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145</xdr:row>
      <xdr:rowOff>104775</xdr:rowOff>
    </xdr:from>
    <xdr:to>
      <xdr:col>5</xdr:col>
      <xdr:colOff>428625</xdr:colOff>
      <xdr:row>148</xdr:row>
      <xdr:rowOff>161925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9D79B54-D68F-4275-AAEC-21CEFA9960E1}"/>
            </a:ext>
          </a:extLst>
        </xdr:cNvPr>
        <xdr:cNvCxnSpPr/>
      </xdr:nvCxnSpPr>
      <xdr:spPr>
        <a:xfrm>
          <a:off x="3209925" y="4105275"/>
          <a:ext cx="371475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153</xdr:row>
      <xdr:rowOff>72390</xdr:rowOff>
    </xdr:from>
    <xdr:to>
      <xdr:col>6</xdr:col>
      <xdr:colOff>0</xdr:colOff>
      <xdr:row>154</xdr:row>
      <xdr:rowOff>91440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14ED3FC-1922-4FEC-B23B-ACC0125793ED}"/>
            </a:ext>
          </a:extLst>
        </xdr:cNvPr>
        <xdr:cNvCxnSpPr/>
      </xdr:nvCxnSpPr>
      <xdr:spPr>
        <a:xfrm flipV="1">
          <a:off x="3147060" y="4842510"/>
          <a:ext cx="43434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154</xdr:row>
      <xdr:rowOff>93345</xdr:rowOff>
    </xdr:from>
    <xdr:to>
      <xdr:col>6</xdr:col>
      <xdr:colOff>0</xdr:colOff>
      <xdr:row>154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EB57C47-580E-4A28-BD10-DDBD6CDE79C2}"/>
            </a:ext>
          </a:extLst>
        </xdr:cNvPr>
        <xdr:cNvCxnSpPr/>
      </xdr:nvCxnSpPr>
      <xdr:spPr>
        <a:xfrm flipV="1">
          <a:off x="3162300" y="5046345"/>
          <a:ext cx="419100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154</xdr:row>
      <xdr:rowOff>114300</xdr:rowOff>
    </xdr:from>
    <xdr:to>
      <xdr:col>6</xdr:col>
      <xdr:colOff>0</xdr:colOff>
      <xdr:row>155</xdr:row>
      <xdr:rowOff>144780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F6CB62C-6648-43BE-9964-A881CA0F6115}"/>
            </a:ext>
          </a:extLst>
        </xdr:cNvPr>
        <xdr:cNvCxnSpPr/>
      </xdr:nvCxnSpPr>
      <xdr:spPr>
        <a:xfrm>
          <a:off x="3124200" y="5067300"/>
          <a:ext cx="45720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</xdr:colOff>
      <xdr:row>156</xdr:row>
      <xdr:rowOff>74295</xdr:rowOff>
    </xdr:from>
    <xdr:to>
      <xdr:col>6</xdr:col>
      <xdr:colOff>0</xdr:colOff>
      <xdr:row>157</xdr:row>
      <xdr:rowOff>76200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DCE9027-01A3-4416-86AD-82C719C8E48A}"/>
            </a:ext>
          </a:extLst>
        </xdr:cNvPr>
        <xdr:cNvCxnSpPr/>
      </xdr:nvCxnSpPr>
      <xdr:spPr>
        <a:xfrm flipV="1">
          <a:off x="3177540" y="5393055"/>
          <a:ext cx="403860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41685</xdr:colOff>
      <xdr:row>157</xdr:row>
      <xdr:rowOff>83820</xdr:rowOff>
    </xdr:from>
    <xdr:to>
      <xdr:col>6</xdr:col>
      <xdr:colOff>44823</xdr:colOff>
      <xdr:row>157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AD5C1C9-0128-4B68-87FE-0BEAF14245D0}"/>
            </a:ext>
          </a:extLst>
        </xdr:cNvPr>
        <xdr:cNvCxnSpPr/>
      </xdr:nvCxnSpPr>
      <xdr:spPr>
        <a:xfrm>
          <a:off x="3000038" y="29196702"/>
          <a:ext cx="417756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</xdr:colOff>
      <xdr:row>157</xdr:row>
      <xdr:rowOff>106680</xdr:rowOff>
    </xdr:from>
    <xdr:to>
      <xdr:col>6</xdr:col>
      <xdr:colOff>0</xdr:colOff>
      <xdr:row>158</xdr:row>
      <xdr:rowOff>133350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1EB2244-440E-4E25-A924-A696ABA87476}"/>
            </a:ext>
          </a:extLst>
        </xdr:cNvPr>
        <xdr:cNvCxnSpPr/>
      </xdr:nvCxnSpPr>
      <xdr:spPr>
        <a:xfrm>
          <a:off x="3004073" y="29219562"/>
          <a:ext cx="368898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159</xdr:row>
      <xdr:rowOff>93345</xdr:rowOff>
    </xdr:from>
    <xdr:to>
      <xdr:col>6</xdr:col>
      <xdr:colOff>0</xdr:colOff>
      <xdr:row>160</xdr:row>
      <xdr:rowOff>91440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97CEC7A-73AE-451E-B960-26812A5E46E7}"/>
            </a:ext>
          </a:extLst>
        </xdr:cNvPr>
        <xdr:cNvCxnSpPr/>
      </xdr:nvCxnSpPr>
      <xdr:spPr>
        <a:xfrm flipV="1">
          <a:off x="3116580" y="5960745"/>
          <a:ext cx="46482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160</xdr:row>
      <xdr:rowOff>93345</xdr:rowOff>
    </xdr:from>
    <xdr:to>
      <xdr:col>6</xdr:col>
      <xdr:colOff>0</xdr:colOff>
      <xdr:row>160</xdr:row>
      <xdr:rowOff>99060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5CF1203-13A5-4487-A8FC-B89522726642}"/>
            </a:ext>
          </a:extLst>
        </xdr:cNvPr>
        <xdr:cNvCxnSpPr/>
      </xdr:nvCxnSpPr>
      <xdr:spPr>
        <a:xfrm flipV="1">
          <a:off x="3147060" y="6143625"/>
          <a:ext cx="434340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160</xdr:row>
      <xdr:rowOff>83820</xdr:rowOff>
    </xdr:from>
    <xdr:to>
      <xdr:col>6</xdr:col>
      <xdr:colOff>0</xdr:colOff>
      <xdr:row>161</xdr:row>
      <xdr:rowOff>148590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508F682-AF41-4466-9656-ED7D1C610ABC}"/>
            </a:ext>
          </a:extLst>
        </xdr:cNvPr>
        <xdr:cNvCxnSpPr/>
      </xdr:nvCxnSpPr>
      <xdr:spPr>
        <a:xfrm>
          <a:off x="3139440" y="6134100"/>
          <a:ext cx="44196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162</xdr:row>
      <xdr:rowOff>91440</xdr:rowOff>
    </xdr:from>
    <xdr:to>
      <xdr:col>6</xdr:col>
      <xdr:colOff>0</xdr:colOff>
      <xdr:row>163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E708C2C-334C-4320-9287-F5A91B78247A}"/>
            </a:ext>
          </a:extLst>
        </xdr:cNvPr>
        <xdr:cNvCxnSpPr/>
      </xdr:nvCxnSpPr>
      <xdr:spPr>
        <a:xfrm flipV="1">
          <a:off x="3139440" y="6507480"/>
          <a:ext cx="4419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163</xdr:row>
      <xdr:rowOff>99060</xdr:rowOff>
    </xdr:from>
    <xdr:to>
      <xdr:col>6</xdr:col>
      <xdr:colOff>7620</xdr:colOff>
      <xdr:row>164</xdr:row>
      <xdr:rowOff>139065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8D3823C0-F1BA-4008-88EC-975EEE094833}"/>
            </a:ext>
          </a:extLst>
        </xdr:cNvPr>
        <xdr:cNvCxnSpPr/>
      </xdr:nvCxnSpPr>
      <xdr:spPr>
        <a:xfrm>
          <a:off x="3147060" y="6697980"/>
          <a:ext cx="441960" cy="2228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165</xdr:row>
      <xdr:rowOff>95250</xdr:rowOff>
    </xdr:from>
    <xdr:to>
      <xdr:col>5</xdr:col>
      <xdr:colOff>571500</xdr:colOff>
      <xdr:row>166</xdr:row>
      <xdr:rowOff>95250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52A1CF5-AD0E-49E5-A6FA-49D258D1D97A}"/>
            </a:ext>
          </a:extLst>
        </xdr:cNvPr>
        <xdr:cNvCxnSpPr/>
      </xdr:nvCxnSpPr>
      <xdr:spPr>
        <a:xfrm flipV="1">
          <a:off x="2503170" y="5048250"/>
          <a:ext cx="58293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166</xdr:row>
      <xdr:rowOff>95250</xdr:rowOff>
    </xdr:from>
    <xdr:to>
      <xdr:col>5</xdr:col>
      <xdr:colOff>590550</xdr:colOff>
      <xdr:row>166</xdr:row>
      <xdr:rowOff>95250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58BC23D-E9F6-40C6-919B-EB1D74D472AD}"/>
            </a:ext>
          </a:extLst>
        </xdr:cNvPr>
        <xdr:cNvCxnSpPr/>
      </xdr:nvCxnSpPr>
      <xdr:spPr>
        <a:xfrm>
          <a:off x="2501265" y="5231130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166</xdr:row>
      <xdr:rowOff>95250</xdr:rowOff>
    </xdr:from>
    <xdr:to>
      <xdr:col>5</xdr:col>
      <xdr:colOff>571500</xdr:colOff>
      <xdr:row>167</xdr:row>
      <xdr:rowOff>144780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7AAE2A1-D51B-454E-93A4-883AC548B0CC}"/>
            </a:ext>
          </a:extLst>
        </xdr:cNvPr>
        <xdr:cNvCxnSpPr/>
      </xdr:nvCxnSpPr>
      <xdr:spPr>
        <a:xfrm>
          <a:off x="2499360" y="5231130"/>
          <a:ext cx="586740" cy="2324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168</xdr:row>
      <xdr:rowOff>62865</xdr:rowOff>
    </xdr:from>
    <xdr:to>
      <xdr:col>5</xdr:col>
      <xdr:colOff>571500</xdr:colOff>
      <xdr:row>169</xdr:row>
      <xdr:rowOff>74295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1C319E0-DE24-4396-9FFA-A906FE9A8BB7}"/>
            </a:ext>
          </a:extLst>
        </xdr:cNvPr>
        <xdr:cNvCxnSpPr/>
      </xdr:nvCxnSpPr>
      <xdr:spPr>
        <a:xfrm flipV="1">
          <a:off x="2499360" y="5564505"/>
          <a:ext cx="586740" cy="1943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169</xdr:row>
      <xdr:rowOff>74295</xdr:rowOff>
    </xdr:from>
    <xdr:to>
      <xdr:col>5</xdr:col>
      <xdr:colOff>586740</xdr:colOff>
      <xdr:row>169</xdr:row>
      <xdr:rowOff>74295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8F68B1F-31A5-4433-BA25-0B384A13B09C}"/>
            </a:ext>
          </a:extLst>
        </xdr:cNvPr>
        <xdr:cNvCxnSpPr/>
      </xdr:nvCxnSpPr>
      <xdr:spPr>
        <a:xfrm>
          <a:off x="2505075" y="575881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169</xdr:row>
      <xdr:rowOff>74295</xdr:rowOff>
    </xdr:from>
    <xdr:to>
      <xdr:col>5</xdr:col>
      <xdr:colOff>571500</xdr:colOff>
      <xdr:row>170</xdr:row>
      <xdr:rowOff>142875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0ED1D4A-CE72-4027-8320-26D02A6C347A}"/>
            </a:ext>
          </a:extLst>
        </xdr:cNvPr>
        <xdr:cNvCxnSpPr/>
      </xdr:nvCxnSpPr>
      <xdr:spPr>
        <a:xfrm>
          <a:off x="2503170" y="5758815"/>
          <a:ext cx="58293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440055</xdr:colOff>
      <xdr:row>1</xdr:row>
      <xdr:rowOff>168592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484ED09-0305-4810-ADD0-FF7B6F9D8350}"/>
            </a:ext>
          </a:extLst>
        </xdr:cNvPr>
        <xdr:cNvSpPr txBox="1"/>
      </xdr:nvSpPr>
      <xdr:spPr>
        <a:xfrm>
          <a:off x="5835015" y="366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twoCellAnchor>
    <xdr:from>
      <xdr:col>4</xdr:col>
      <xdr:colOff>426720</xdr:colOff>
      <xdr:row>151</xdr:row>
      <xdr:rowOff>99060</xdr:rowOff>
    </xdr:from>
    <xdr:to>
      <xdr:col>6</xdr:col>
      <xdr:colOff>0</xdr:colOff>
      <xdr:row>152</xdr:row>
      <xdr:rowOff>144780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A97CA95-E2F3-4151-ADD6-6523FD66374B}"/>
            </a:ext>
          </a:extLst>
        </xdr:cNvPr>
        <xdr:cNvCxnSpPr/>
      </xdr:nvCxnSpPr>
      <xdr:spPr>
        <a:xfrm>
          <a:off x="3139440" y="4320540"/>
          <a:ext cx="44196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151</xdr:row>
      <xdr:rowOff>81915</xdr:rowOff>
    </xdr:from>
    <xdr:to>
      <xdr:col>5</xdr:col>
      <xdr:colOff>430530</xdr:colOff>
      <xdr:row>151</xdr:row>
      <xdr:rowOff>91440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3DD615D-CABD-429A-83B4-26D92889E31C}"/>
            </a:ext>
          </a:extLst>
        </xdr:cNvPr>
        <xdr:cNvCxnSpPr/>
      </xdr:nvCxnSpPr>
      <xdr:spPr>
        <a:xfrm flipV="1">
          <a:off x="3139440" y="4303395"/>
          <a:ext cx="4381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150</xdr:row>
      <xdr:rowOff>49530</xdr:rowOff>
    </xdr:from>
    <xdr:to>
      <xdr:col>6</xdr:col>
      <xdr:colOff>0</xdr:colOff>
      <xdr:row>151</xdr:row>
      <xdr:rowOff>76200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88151E2-56BC-4D2E-960F-ED7E04B8F109}"/>
            </a:ext>
          </a:extLst>
        </xdr:cNvPr>
        <xdr:cNvCxnSpPr/>
      </xdr:nvCxnSpPr>
      <xdr:spPr>
        <a:xfrm flipV="1">
          <a:off x="3124200" y="4088130"/>
          <a:ext cx="4572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163</xdr:row>
      <xdr:rowOff>95250</xdr:rowOff>
    </xdr:from>
    <xdr:to>
      <xdr:col>6</xdr:col>
      <xdr:colOff>0</xdr:colOff>
      <xdr:row>163</xdr:row>
      <xdr:rowOff>99060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E29B2DE-23A1-4A67-8628-47C36F710346}"/>
            </a:ext>
          </a:extLst>
        </xdr:cNvPr>
        <xdr:cNvCxnSpPr/>
      </xdr:nvCxnSpPr>
      <xdr:spPr>
        <a:xfrm flipV="1">
          <a:off x="3169920" y="6694170"/>
          <a:ext cx="41148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130</xdr:row>
      <xdr:rowOff>76200</xdr:rowOff>
    </xdr:from>
    <xdr:to>
      <xdr:col>7</xdr:col>
      <xdr:colOff>419100</xdr:colOff>
      <xdr:row>133</xdr:row>
      <xdr:rowOff>76200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F5B43248-7B9C-4075-9216-A111B3D3D34D}"/>
            </a:ext>
          </a:extLst>
        </xdr:cNvPr>
        <xdr:cNvCxnSpPr/>
      </xdr:nvCxnSpPr>
      <xdr:spPr>
        <a:xfrm flipV="1">
          <a:off x="3992880" y="2286000"/>
          <a:ext cx="518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133</xdr:row>
      <xdr:rowOff>83820</xdr:rowOff>
    </xdr:from>
    <xdr:to>
      <xdr:col>8</xdr:col>
      <xdr:colOff>7620</xdr:colOff>
      <xdr:row>133</xdr:row>
      <xdr:rowOff>83820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54ED3363-BDD0-4DE9-A6C5-006546502082}"/>
            </a:ext>
          </a:extLst>
        </xdr:cNvPr>
        <xdr:cNvCxnSpPr/>
      </xdr:nvCxnSpPr>
      <xdr:spPr>
        <a:xfrm>
          <a:off x="3131820" y="2476500"/>
          <a:ext cx="457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133</xdr:row>
      <xdr:rowOff>91440</xdr:rowOff>
    </xdr:from>
    <xdr:to>
      <xdr:col>8</xdr:col>
      <xdr:colOff>7620</xdr:colOff>
      <xdr:row>136</xdr:row>
      <xdr:rowOff>121920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8458D36-17EA-4797-A60B-55021679FD3B}"/>
            </a:ext>
          </a:extLst>
        </xdr:cNvPr>
        <xdr:cNvCxnSpPr/>
      </xdr:nvCxnSpPr>
      <xdr:spPr>
        <a:xfrm>
          <a:off x="4008120" y="2484120"/>
          <a:ext cx="5257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11</xdr:row>
      <xdr:rowOff>76200</xdr:rowOff>
    </xdr:from>
    <xdr:to>
      <xdr:col>7</xdr:col>
      <xdr:colOff>419100</xdr:colOff>
      <xdr:row>14</xdr:row>
      <xdr:rowOff>76200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83A56076-AD98-4DE4-9AEA-09D25E3AAD76}"/>
            </a:ext>
          </a:extLst>
        </xdr:cNvPr>
        <xdr:cNvCxnSpPr/>
      </xdr:nvCxnSpPr>
      <xdr:spPr>
        <a:xfrm flipV="1">
          <a:off x="3992880" y="2468880"/>
          <a:ext cx="518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</xdr:row>
      <xdr:rowOff>83820</xdr:rowOff>
    </xdr:from>
    <xdr:to>
      <xdr:col>8</xdr:col>
      <xdr:colOff>7620</xdr:colOff>
      <xdr:row>14</xdr:row>
      <xdr:rowOff>83820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66666D35-DE18-4460-B97C-809530FF39F4}"/>
            </a:ext>
          </a:extLst>
        </xdr:cNvPr>
        <xdr:cNvCxnSpPr/>
      </xdr:nvCxnSpPr>
      <xdr:spPr>
        <a:xfrm>
          <a:off x="4000500" y="2659380"/>
          <a:ext cx="533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</xdr:row>
      <xdr:rowOff>91440</xdr:rowOff>
    </xdr:from>
    <xdr:to>
      <xdr:col>8</xdr:col>
      <xdr:colOff>7620</xdr:colOff>
      <xdr:row>124</xdr:row>
      <xdr:rowOff>121920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D23393F5-25F7-4325-A296-60ADAA7C03E4}"/>
            </a:ext>
          </a:extLst>
        </xdr:cNvPr>
        <xdr:cNvCxnSpPr/>
      </xdr:nvCxnSpPr>
      <xdr:spPr>
        <a:xfrm>
          <a:off x="4008120" y="2667000"/>
          <a:ext cx="5257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138</xdr:row>
      <xdr:rowOff>76200</xdr:rowOff>
    </xdr:from>
    <xdr:to>
      <xdr:col>7</xdr:col>
      <xdr:colOff>419100</xdr:colOff>
      <xdr:row>139</xdr:row>
      <xdr:rowOff>76200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825C4D93-FCE1-43CC-A423-EF690A33B573}"/>
            </a:ext>
          </a:extLst>
        </xdr:cNvPr>
        <xdr:cNvCxnSpPr/>
      </xdr:nvCxnSpPr>
      <xdr:spPr>
        <a:xfrm flipV="1">
          <a:off x="3992880" y="2468880"/>
          <a:ext cx="5181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139</xdr:row>
      <xdr:rowOff>83820</xdr:rowOff>
    </xdr:from>
    <xdr:to>
      <xdr:col>8</xdr:col>
      <xdr:colOff>7620</xdr:colOff>
      <xdr:row>139</xdr:row>
      <xdr:rowOff>83820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FF7C55B4-BF73-4FA0-9329-E54EA7104D24}"/>
            </a:ext>
          </a:extLst>
        </xdr:cNvPr>
        <xdr:cNvCxnSpPr/>
      </xdr:nvCxnSpPr>
      <xdr:spPr>
        <a:xfrm>
          <a:off x="4000500" y="2659380"/>
          <a:ext cx="533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139</xdr:row>
      <xdr:rowOff>91440</xdr:rowOff>
    </xdr:from>
    <xdr:to>
      <xdr:col>8</xdr:col>
      <xdr:colOff>7620</xdr:colOff>
      <xdr:row>140</xdr:row>
      <xdr:rowOff>121920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342DEDC-7CC9-4223-9201-DDF6D8451831}"/>
            </a:ext>
          </a:extLst>
        </xdr:cNvPr>
        <xdr:cNvCxnSpPr/>
      </xdr:nvCxnSpPr>
      <xdr:spPr>
        <a:xfrm>
          <a:off x="4008120" y="2667000"/>
          <a:ext cx="5257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144</xdr:row>
      <xdr:rowOff>76200</xdr:rowOff>
    </xdr:from>
    <xdr:to>
      <xdr:col>7</xdr:col>
      <xdr:colOff>419100</xdr:colOff>
      <xdr:row>145</xdr:row>
      <xdr:rowOff>76200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524FC23D-9E7A-4BFC-B1BD-65A761B7A33F}"/>
            </a:ext>
          </a:extLst>
        </xdr:cNvPr>
        <xdr:cNvCxnSpPr/>
      </xdr:nvCxnSpPr>
      <xdr:spPr>
        <a:xfrm flipV="1">
          <a:off x="4000500" y="2447925"/>
          <a:ext cx="5238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145</xdr:row>
      <xdr:rowOff>83820</xdr:rowOff>
    </xdr:from>
    <xdr:to>
      <xdr:col>8</xdr:col>
      <xdr:colOff>7620</xdr:colOff>
      <xdr:row>145</xdr:row>
      <xdr:rowOff>83820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68FC7D33-4B98-4260-B085-3373ABDAE15D}"/>
            </a:ext>
          </a:extLst>
        </xdr:cNvPr>
        <xdr:cNvCxnSpPr/>
      </xdr:nvCxnSpPr>
      <xdr:spPr>
        <a:xfrm>
          <a:off x="4010025" y="2638425"/>
          <a:ext cx="542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145</xdr:row>
      <xdr:rowOff>91440</xdr:rowOff>
    </xdr:from>
    <xdr:to>
      <xdr:col>8</xdr:col>
      <xdr:colOff>7620</xdr:colOff>
      <xdr:row>146</xdr:row>
      <xdr:rowOff>121920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BD7393E-F285-49D3-8E8E-F5D3827D056F}"/>
            </a:ext>
          </a:extLst>
        </xdr:cNvPr>
        <xdr:cNvCxnSpPr/>
      </xdr:nvCxnSpPr>
      <xdr:spPr>
        <a:xfrm>
          <a:off x="4019550" y="2647950"/>
          <a:ext cx="5334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141</xdr:row>
      <xdr:rowOff>76200</xdr:rowOff>
    </xdr:from>
    <xdr:to>
      <xdr:col>7</xdr:col>
      <xdr:colOff>419100</xdr:colOff>
      <xdr:row>142</xdr:row>
      <xdr:rowOff>76200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72567EE-193D-4F2F-A9D0-60101EE49DC0}"/>
            </a:ext>
          </a:extLst>
        </xdr:cNvPr>
        <xdr:cNvCxnSpPr/>
      </xdr:nvCxnSpPr>
      <xdr:spPr>
        <a:xfrm flipV="1">
          <a:off x="4000500" y="1905000"/>
          <a:ext cx="5238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142</xdr:row>
      <xdr:rowOff>83820</xdr:rowOff>
    </xdr:from>
    <xdr:to>
      <xdr:col>8</xdr:col>
      <xdr:colOff>7620</xdr:colOff>
      <xdr:row>142</xdr:row>
      <xdr:rowOff>83820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1BE555E3-E7BB-4C25-9C5B-3BB163FCFD53}"/>
            </a:ext>
          </a:extLst>
        </xdr:cNvPr>
        <xdr:cNvCxnSpPr/>
      </xdr:nvCxnSpPr>
      <xdr:spPr>
        <a:xfrm>
          <a:off x="4010025" y="2095500"/>
          <a:ext cx="542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142</xdr:row>
      <xdr:rowOff>91440</xdr:rowOff>
    </xdr:from>
    <xdr:to>
      <xdr:col>8</xdr:col>
      <xdr:colOff>7620</xdr:colOff>
      <xdr:row>143</xdr:row>
      <xdr:rowOff>121920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269F678-33EB-49E4-9DE4-6B8AD3B2A153}"/>
            </a:ext>
          </a:extLst>
        </xdr:cNvPr>
        <xdr:cNvCxnSpPr/>
      </xdr:nvCxnSpPr>
      <xdr:spPr>
        <a:xfrm>
          <a:off x="4019550" y="2105025"/>
          <a:ext cx="5334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147</xdr:row>
      <xdr:rowOff>76200</xdr:rowOff>
    </xdr:from>
    <xdr:to>
      <xdr:col>7</xdr:col>
      <xdr:colOff>419100</xdr:colOff>
      <xdr:row>148</xdr:row>
      <xdr:rowOff>76200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85983393-A153-4BA7-A04E-DC30A4C4941F}"/>
            </a:ext>
          </a:extLst>
        </xdr:cNvPr>
        <xdr:cNvCxnSpPr/>
      </xdr:nvCxnSpPr>
      <xdr:spPr>
        <a:xfrm flipV="1">
          <a:off x="4000500" y="2990850"/>
          <a:ext cx="5238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148</xdr:row>
      <xdr:rowOff>83820</xdr:rowOff>
    </xdr:from>
    <xdr:to>
      <xdr:col>8</xdr:col>
      <xdr:colOff>7620</xdr:colOff>
      <xdr:row>148</xdr:row>
      <xdr:rowOff>83820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3D468A91-2219-4C20-A694-0BACC97708DD}"/>
            </a:ext>
          </a:extLst>
        </xdr:cNvPr>
        <xdr:cNvCxnSpPr/>
      </xdr:nvCxnSpPr>
      <xdr:spPr>
        <a:xfrm>
          <a:off x="4010025" y="3181350"/>
          <a:ext cx="542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148</xdr:row>
      <xdr:rowOff>91440</xdr:rowOff>
    </xdr:from>
    <xdr:to>
      <xdr:col>8</xdr:col>
      <xdr:colOff>7620</xdr:colOff>
      <xdr:row>149</xdr:row>
      <xdr:rowOff>121920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2D435821-1889-4F64-A550-7D2DCE921A63}"/>
            </a:ext>
          </a:extLst>
        </xdr:cNvPr>
        <xdr:cNvCxnSpPr/>
      </xdr:nvCxnSpPr>
      <xdr:spPr>
        <a:xfrm>
          <a:off x="4019550" y="3190875"/>
          <a:ext cx="5334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66675</xdr:rowOff>
    </xdr:from>
    <xdr:to>
      <xdr:col>9</xdr:col>
      <xdr:colOff>542925</xdr:colOff>
      <xdr:row>11</xdr:row>
      <xdr:rowOff>76200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2AF9BDC8-313C-4385-B1FF-C80483E3B1FC}"/>
            </a:ext>
          </a:extLst>
        </xdr:cNvPr>
        <xdr:cNvCxnSpPr/>
      </xdr:nvCxnSpPr>
      <xdr:spPr>
        <a:xfrm flipV="1">
          <a:off x="4953000" y="1895475"/>
          <a:ext cx="5429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11</xdr:row>
      <xdr:rowOff>83820</xdr:rowOff>
    </xdr:from>
    <xdr:to>
      <xdr:col>10</xdr:col>
      <xdr:colOff>7620</xdr:colOff>
      <xdr:row>11</xdr:row>
      <xdr:rowOff>83820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3EDE9619-BDE9-4AFD-AB04-2BAD77F039DD}"/>
            </a:ext>
          </a:extLst>
        </xdr:cNvPr>
        <xdr:cNvCxnSpPr/>
      </xdr:nvCxnSpPr>
      <xdr:spPr>
        <a:xfrm>
          <a:off x="4010025" y="4267200"/>
          <a:ext cx="542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11</xdr:row>
      <xdr:rowOff>91440</xdr:rowOff>
    </xdr:from>
    <xdr:to>
      <xdr:col>10</xdr:col>
      <xdr:colOff>7620</xdr:colOff>
      <xdr:row>12</xdr:row>
      <xdr:rowOff>121920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1556203-5B89-4183-B465-E9FC4A9B2184}"/>
            </a:ext>
          </a:extLst>
        </xdr:cNvPr>
        <xdr:cNvCxnSpPr/>
      </xdr:nvCxnSpPr>
      <xdr:spPr>
        <a:xfrm>
          <a:off x="4019550" y="4276725"/>
          <a:ext cx="5334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66675</xdr:rowOff>
    </xdr:from>
    <xdr:to>
      <xdr:col>9</xdr:col>
      <xdr:colOff>542925</xdr:colOff>
      <xdr:row>14</xdr:row>
      <xdr:rowOff>76200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8C1FD18B-ED83-470E-AF5B-783B12446E6D}"/>
            </a:ext>
          </a:extLst>
        </xdr:cNvPr>
        <xdr:cNvCxnSpPr/>
      </xdr:nvCxnSpPr>
      <xdr:spPr>
        <a:xfrm flipV="1">
          <a:off x="4953000" y="189357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14</xdr:row>
      <xdr:rowOff>83820</xdr:rowOff>
    </xdr:from>
    <xdr:to>
      <xdr:col>10</xdr:col>
      <xdr:colOff>7620</xdr:colOff>
      <xdr:row>14</xdr:row>
      <xdr:rowOff>83820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F47A3BEA-7502-4809-8B38-64E3436E88D0}"/>
            </a:ext>
          </a:extLst>
        </xdr:cNvPr>
        <xdr:cNvCxnSpPr/>
      </xdr:nvCxnSpPr>
      <xdr:spPr>
        <a:xfrm>
          <a:off x="4953000" y="20955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14</xdr:row>
      <xdr:rowOff>91440</xdr:rowOff>
    </xdr:from>
    <xdr:to>
      <xdr:col>10</xdr:col>
      <xdr:colOff>7620</xdr:colOff>
      <xdr:row>15</xdr:row>
      <xdr:rowOff>121920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D5D15EC5-FFAB-45DE-85F5-1F1459B39C59}"/>
            </a:ext>
          </a:extLst>
        </xdr:cNvPr>
        <xdr:cNvCxnSpPr/>
      </xdr:nvCxnSpPr>
      <xdr:spPr>
        <a:xfrm>
          <a:off x="4953000" y="210502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118</xdr:row>
      <xdr:rowOff>66675</xdr:rowOff>
    </xdr:from>
    <xdr:to>
      <xdr:col>9</xdr:col>
      <xdr:colOff>542925</xdr:colOff>
      <xdr:row>124</xdr:row>
      <xdr:rowOff>76200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255CDEFA-3EC8-47A7-A212-EC602AF0AE0A}"/>
            </a:ext>
          </a:extLst>
        </xdr:cNvPr>
        <xdr:cNvCxnSpPr/>
      </xdr:nvCxnSpPr>
      <xdr:spPr>
        <a:xfrm flipV="1">
          <a:off x="4953000" y="189357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124</xdr:row>
      <xdr:rowOff>83820</xdr:rowOff>
    </xdr:from>
    <xdr:to>
      <xdr:col>10</xdr:col>
      <xdr:colOff>7620</xdr:colOff>
      <xdr:row>124</xdr:row>
      <xdr:rowOff>83820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5BAB6C48-EEF4-4141-9023-E18AA45D1C13}"/>
            </a:ext>
          </a:extLst>
        </xdr:cNvPr>
        <xdr:cNvCxnSpPr/>
      </xdr:nvCxnSpPr>
      <xdr:spPr>
        <a:xfrm>
          <a:off x="4953000" y="20955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124</xdr:row>
      <xdr:rowOff>91440</xdr:rowOff>
    </xdr:from>
    <xdr:to>
      <xdr:col>10</xdr:col>
      <xdr:colOff>7620</xdr:colOff>
      <xdr:row>127</xdr:row>
      <xdr:rowOff>121920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A3EC7596-7A81-4231-91AA-A7983610FA56}"/>
            </a:ext>
          </a:extLst>
        </xdr:cNvPr>
        <xdr:cNvCxnSpPr/>
      </xdr:nvCxnSpPr>
      <xdr:spPr>
        <a:xfrm>
          <a:off x="4953000" y="210502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129</xdr:row>
      <xdr:rowOff>66675</xdr:rowOff>
    </xdr:from>
    <xdr:to>
      <xdr:col>9</xdr:col>
      <xdr:colOff>542925</xdr:colOff>
      <xdr:row>130</xdr:row>
      <xdr:rowOff>76200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F31FC7C1-9565-4CAA-8F38-AFF7B0457655}"/>
            </a:ext>
          </a:extLst>
        </xdr:cNvPr>
        <xdr:cNvCxnSpPr/>
      </xdr:nvCxnSpPr>
      <xdr:spPr>
        <a:xfrm flipV="1">
          <a:off x="4953000" y="189357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130</xdr:row>
      <xdr:rowOff>83820</xdr:rowOff>
    </xdr:from>
    <xdr:to>
      <xdr:col>10</xdr:col>
      <xdr:colOff>7620</xdr:colOff>
      <xdr:row>130</xdr:row>
      <xdr:rowOff>83820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992DCE32-7858-4E59-97D4-36716445F6F5}"/>
            </a:ext>
          </a:extLst>
        </xdr:cNvPr>
        <xdr:cNvCxnSpPr/>
      </xdr:nvCxnSpPr>
      <xdr:spPr>
        <a:xfrm>
          <a:off x="4953000" y="20955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130</xdr:row>
      <xdr:rowOff>91440</xdr:rowOff>
    </xdr:from>
    <xdr:to>
      <xdr:col>10</xdr:col>
      <xdr:colOff>7620</xdr:colOff>
      <xdr:row>131</xdr:row>
      <xdr:rowOff>121920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A4995531-7B0E-4E3A-9782-5D2867C5BB3C}"/>
            </a:ext>
          </a:extLst>
        </xdr:cNvPr>
        <xdr:cNvCxnSpPr/>
      </xdr:nvCxnSpPr>
      <xdr:spPr>
        <a:xfrm>
          <a:off x="4953000" y="210502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132</xdr:row>
      <xdr:rowOff>66675</xdr:rowOff>
    </xdr:from>
    <xdr:to>
      <xdr:col>9</xdr:col>
      <xdr:colOff>542925</xdr:colOff>
      <xdr:row>133</xdr:row>
      <xdr:rowOff>76200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C6CA45B0-10FC-45FA-A30D-F1991B2FC157}"/>
            </a:ext>
          </a:extLst>
        </xdr:cNvPr>
        <xdr:cNvCxnSpPr/>
      </xdr:nvCxnSpPr>
      <xdr:spPr>
        <a:xfrm flipV="1">
          <a:off x="4953000" y="243649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133</xdr:row>
      <xdr:rowOff>83820</xdr:rowOff>
    </xdr:from>
    <xdr:to>
      <xdr:col>10</xdr:col>
      <xdr:colOff>7620</xdr:colOff>
      <xdr:row>133</xdr:row>
      <xdr:rowOff>83820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110D8E58-115F-470E-A5FB-EAC455E004FA}"/>
            </a:ext>
          </a:extLst>
        </xdr:cNvPr>
        <xdr:cNvCxnSpPr/>
      </xdr:nvCxnSpPr>
      <xdr:spPr>
        <a:xfrm>
          <a:off x="4953000" y="26384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133</xdr:row>
      <xdr:rowOff>91440</xdr:rowOff>
    </xdr:from>
    <xdr:to>
      <xdr:col>10</xdr:col>
      <xdr:colOff>7620</xdr:colOff>
      <xdr:row>134</xdr:row>
      <xdr:rowOff>121920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18F2AC4-FC0D-41EA-9EFE-53A01578EE5C}"/>
            </a:ext>
          </a:extLst>
        </xdr:cNvPr>
        <xdr:cNvCxnSpPr/>
      </xdr:nvCxnSpPr>
      <xdr:spPr>
        <a:xfrm>
          <a:off x="4953000" y="264795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66675</xdr:rowOff>
    </xdr:from>
    <xdr:to>
      <xdr:col>9</xdr:col>
      <xdr:colOff>542925</xdr:colOff>
      <xdr:row>136</xdr:row>
      <xdr:rowOff>76200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CBBD3AF-2D6D-4E68-83BB-2026616437E5}"/>
            </a:ext>
          </a:extLst>
        </xdr:cNvPr>
        <xdr:cNvCxnSpPr/>
      </xdr:nvCxnSpPr>
      <xdr:spPr>
        <a:xfrm flipV="1">
          <a:off x="4953000" y="29794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136</xdr:row>
      <xdr:rowOff>83820</xdr:rowOff>
    </xdr:from>
    <xdr:to>
      <xdr:col>10</xdr:col>
      <xdr:colOff>7620</xdr:colOff>
      <xdr:row>136</xdr:row>
      <xdr:rowOff>83820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12B6191-AF01-44F3-8EAC-158EBBFCF37E}"/>
            </a:ext>
          </a:extLst>
        </xdr:cNvPr>
        <xdr:cNvCxnSpPr/>
      </xdr:nvCxnSpPr>
      <xdr:spPr>
        <a:xfrm>
          <a:off x="4953000" y="318135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136</xdr:row>
      <xdr:rowOff>91440</xdr:rowOff>
    </xdr:from>
    <xdr:to>
      <xdr:col>10</xdr:col>
      <xdr:colOff>7620</xdr:colOff>
      <xdr:row>137</xdr:row>
      <xdr:rowOff>121920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93EC5BE-E368-4D74-A082-8FEC6DF30968}"/>
            </a:ext>
          </a:extLst>
        </xdr:cNvPr>
        <xdr:cNvCxnSpPr/>
      </xdr:nvCxnSpPr>
      <xdr:spPr>
        <a:xfrm>
          <a:off x="4953000" y="319087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108</xdr:row>
      <xdr:rowOff>66675</xdr:rowOff>
    </xdr:from>
    <xdr:to>
      <xdr:col>11</xdr:col>
      <xdr:colOff>542925</xdr:colOff>
      <xdr:row>118</xdr:row>
      <xdr:rowOff>76200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C3256B7C-43DF-44BB-9D4F-0A70B0F5F22F}"/>
            </a:ext>
          </a:extLst>
        </xdr:cNvPr>
        <xdr:cNvCxnSpPr/>
      </xdr:nvCxnSpPr>
      <xdr:spPr>
        <a:xfrm flipV="1">
          <a:off x="4953000" y="460819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118</xdr:row>
      <xdr:rowOff>83820</xdr:rowOff>
    </xdr:from>
    <xdr:to>
      <xdr:col>12</xdr:col>
      <xdr:colOff>7620</xdr:colOff>
      <xdr:row>118</xdr:row>
      <xdr:rowOff>83820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CD024F03-9CB5-408F-B157-FDCCF2E50382}"/>
            </a:ext>
          </a:extLst>
        </xdr:cNvPr>
        <xdr:cNvCxnSpPr/>
      </xdr:nvCxnSpPr>
      <xdr:spPr>
        <a:xfrm>
          <a:off x="4953000" y="48101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118</xdr:row>
      <xdr:rowOff>91440</xdr:rowOff>
    </xdr:from>
    <xdr:to>
      <xdr:col>12</xdr:col>
      <xdr:colOff>7620</xdr:colOff>
      <xdr:row>121</xdr:row>
      <xdr:rowOff>121920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9160A7B2-C086-4A1E-9E42-57547909E2F0}"/>
            </a:ext>
          </a:extLst>
        </xdr:cNvPr>
        <xdr:cNvCxnSpPr/>
      </xdr:nvCxnSpPr>
      <xdr:spPr>
        <a:xfrm>
          <a:off x="4953000" y="481965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123</xdr:row>
      <xdr:rowOff>66675</xdr:rowOff>
    </xdr:from>
    <xdr:to>
      <xdr:col>11</xdr:col>
      <xdr:colOff>542925</xdr:colOff>
      <xdr:row>124</xdr:row>
      <xdr:rowOff>76200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16ED85B6-3932-4A6D-A86B-F60D27ACBFD7}"/>
            </a:ext>
          </a:extLst>
        </xdr:cNvPr>
        <xdr:cNvCxnSpPr/>
      </xdr:nvCxnSpPr>
      <xdr:spPr>
        <a:xfrm flipV="1">
          <a:off x="4953000" y="51511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124</xdr:row>
      <xdr:rowOff>83820</xdr:rowOff>
    </xdr:from>
    <xdr:to>
      <xdr:col>12</xdr:col>
      <xdr:colOff>7620</xdr:colOff>
      <xdr:row>124</xdr:row>
      <xdr:rowOff>83820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CCD29784-2145-495F-A739-2E088ECF95BF}"/>
            </a:ext>
          </a:extLst>
        </xdr:cNvPr>
        <xdr:cNvCxnSpPr/>
      </xdr:nvCxnSpPr>
      <xdr:spPr>
        <a:xfrm>
          <a:off x="4953000" y="535305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124</xdr:row>
      <xdr:rowOff>91440</xdr:rowOff>
    </xdr:from>
    <xdr:to>
      <xdr:col>12</xdr:col>
      <xdr:colOff>7620</xdr:colOff>
      <xdr:row>125</xdr:row>
      <xdr:rowOff>121920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C5DB0736-BBC4-4A15-B6A1-FADE3D474859}"/>
            </a:ext>
          </a:extLst>
        </xdr:cNvPr>
        <xdr:cNvCxnSpPr/>
      </xdr:nvCxnSpPr>
      <xdr:spPr>
        <a:xfrm>
          <a:off x="4953000" y="536257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126</xdr:row>
      <xdr:rowOff>66675</xdr:rowOff>
    </xdr:from>
    <xdr:to>
      <xdr:col>11</xdr:col>
      <xdr:colOff>542925</xdr:colOff>
      <xdr:row>127</xdr:row>
      <xdr:rowOff>76200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F62DD25-BECE-44DD-94E4-20FE6385DD72}"/>
            </a:ext>
          </a:extLst>
        </xdr:cNvPr>
        <xdr:cNvCxnSpPr/>
      </xdr:nvCxnSpPr>
      <xdr:spPr>
        <a:xfrm flipV="1">
          <a:off x="4953000" y="569404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127</xdr:row>
      <xdr:rowOff>83820</xdr:rowOff>
    </xdr:from>
    <xdr:to>
      <xdr:col>12</xdr:col>
      <xdr:colOff>7620</xdr:colOff>
      <xdr:row>127</xdr:row>
      <xdr:rowOff>83820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35DA1045-B21A-4D6F-BCF0-9127D95E43F5}"/>
            </a:ext>
          </a:extLst>
        </xdr:cNvPr>
        <xdr:cNvCxnSpPr/>
      </xdr:nvCxnSpPr>
      <xdr:spPr>
        <a:xfrm>
          <a:off x="4953000" y="589597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127</xdr:row>
      <xdr:rowOff>91440</xdr:rowOff>
    </xdr:from>
    <xdr:to>
      <xdr:col>12</xdr:col>
      <xdr:colOff>7620</xdr:colOff>
      <xdr:row>128</xdr:row>
      <xdr:rowOff>121920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A112B7D5-58DD-4C3C-AB6F-EE61BF4F698A}"/>
            </a:ext>
          </a:extLst>
        </xdr:cNvPr>
        <xdr:cNvCxnSpPr/>
      </xdr:nvCxnSpPr>
      <xdr:spPr>
        <a:xfrm>
          <a:off x="4953000" y="590550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66675</xdr:rowOff>
    </xdr:from>
    <xdr:to>
      <xdr:col>13</xdr:col>
      <xdr:colOff>542925</xdr:colOff>
      <xdr:row>108</xdr:row>
      <xdr:rowOff>76200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26C1B45A-D4CC-4995-A9C8-17E606F5D4C3}"/>
            </a:ext>
          </a:extLst>
        </xdr:cNvPr>
        <xdr:cNvCxnSpPr/>
      </xdr:nvCxnSpPr>
      <xdr:spPr>
        <a:xfrm flipV="1">
          <a:off x="4953000" y="569404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108</xdr:row>
      <xdr:rowOff>83820</xdr:rowOff>
    </xdr:from>
    <xdr:to>
      <xdr:col>14</xdr:col>
      <xdr:colOff>7620</xdr:colOff>
      <xdr:row>108</xdr:row>
      <xdr:rowOff>83820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A4A0FDE4-C1E8-45DA-BE26-A77EB488F191}"/>
            </a:ext>
          </a:extLst>
        </xdr:cNvPr>
        <xdr:cNvCxnSpPr/>
      </xdr:nvCxnSpPr>
      <xdr:spPr>
        <a:xfrm>
          <a:off x="4953000" y="589597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108</xdr:row>
      <xdr:rowOff>91440</xdr:rowOff>
    </xdr:from>
    <xdr:to>
      <xdr:col>14</xdr:col>
      <xdr:colOff>7620</xdr:colOff>
      <xdr:row>116</xdr:row>
      <xdr:rowOff>121920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EE52A153-BDC7-4C44-90B7-51426896F613}"/>
            </a:ext>
          </a:extLst>
        </xdr:cNvPr>
        <xdr:cNvCxnSpPr/>
      </xdr:nvCxnSpPr>
      <xdr:spPr>
        <a:xfrm>
          <a:off x="4953000" y="590550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117</xdr:row>
      <xdr:rowOff>66675</xdr:rowOff>
    </xdr:from>
    <xdr:to>
      <xdr:col>13</xdr:col>
      <xdr:colOff>542925</xdr:colOff>
      <xdr:row>118</xdr:row>
      <xdr:rowOff>76200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25E440D-6633-423A-AC8A-09EB09C18D7F}"/>
            </a:ext>
          </a:extLst>
        </xdr:cNvPr>
        <xdr:cNvCxnSpPr/>
      </xdr:nvCxnSpPr>
      <xdr:spPr>
        <a:xfrm flipV="1">
          <a:off x="4953000" y="623697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118</xdr:row>
      <xdr:rowOff>83820</xdr:rowOff>
    </xdr:from>
    <xdr:to>
      <xdr:col>14</xdr:col>
      <xdr:colOff>7620</xdr:colOff>
      <xdr:row>118</xdr:row>
      <xdr:rowOff>83820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2BDC01C3-5886-469D-868D-E4D75710D0F8}"/>
            </a:ext>
          </a:extLst>
        </xdr:cNvPr>
        <xdr:cNvCxnSpPr/>
      </xdr:nvCxnSpPr>
      <xdr:spPr>
        <a:xfrm>
          <a:off x="4953000" y="643890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118</xdr:row>
      <xdr:rowOff>91440</xdr:rowOff>
    </xdr:from>
    <xdr:to>
      <xdr:col>14</xdr:col>
      <xdr:colOff>7620</xdr:colOff>
      <xdr:row>119</xdr:row>
      <xdr:rowOff>121920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FEB138-B38D-4F38-9BCD-FE590086F320}"/>
            </a:ext>
          </a:extLst>
        </xdr:cNvPr>
        <xdr:cNvCxnSpPr/>
      </xdr:nvCxnSpPr>
      <xdr:spPr>
        <a:xfrm>
          <a:off x="4953000" y="644842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120</xdr:row>
      <xdr:rowOff>66675</xdr:rowOff>
    </xdr:from>
    <xdr:to>
      <xdr:col>13</xdr:col>
      <xdr:colOff>542925</xdr:colOff>
      <xdr:row>121</xdr:row>
      <xdr:rowOff>76200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F08CAA3A-46B8-45CE-9F93-B2B85194A2B1}"/>
            </a:ext>
          </a:extLst>
        </xdr:cNvPr>
        <xdr:cNvCxnSpPr/>
      </xdr:nvCxnSpPr>
      <xdr:spPr>
        <a:xfrm flipV="1">
          <a:off x="4953000" y="677989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121</xdr:row>
      <xdr:rowOff>83820</xdr:rowOff>
    </xdr:from>
    <xdr:to>
      <xdr:col>14</xdr:col>
      <xdr:colOff>7620</xdr:colOff>
      <xdr:row>121</xdr:row>
      <xdr:rowOff>83820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A48DC5AD-8778-4384-B488-09FFF7013B22}"/>
            </a:ext>
          </a:extLst>
        </xdr:cNvPr>
        <xdr:cNvCxnSpPr/>
      </xdr:nvCxnSpPr>
      <xdr:spPr>
        <a:xfrm>
          <a:off x="4953000" y="69818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121</xdr:row>
      <xdr:rowOff>91440</xdr:rowOff>
    </xdr:from>
    <xdr:to>
      <xdr:col>14</xdr:col>
      <xdr:colOff>7620</xdr:colOff>
      <xdr:row>122</xdr:row>
      <xdr:rowOff>121920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715E4E8C-B7C5-4747-ADAE-C43E2AB491AB}"/>
            </a:ext>
          </a:extLst>
        </xdr:cNvPr>
        <xdr:cNvCxnSpPr/>
      </xdr:nvCxnSpPr>
      <xdr:spPr>
        <a:xfrm>
          <a:off x="4953000" y="699135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66675</xdr:rowOff>
    </xdr:from>
    <xdr:to>
      <xdr:col>15</xdr:col>
      <xdr:colOff>542925</xdr:colOff>
      <xdr:row>17</xdr:row>
      <xdr:rowOff>76200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E3148B5B-2311-4D18-8A74-DCD1CC16128E}"/>
            </a:ext>
          </a:extLst>
        </xdr:cNvPr>
        <xdr:cNvCxnSpPr/>
      </xdr:nvCxnSpPr>
      <xdr:spPr>
        <a:xfrm flipV="1">
          <a:off x="6972300" y="460819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17</xdr:row>
      <xdr:rowOff>83820</xdr:rowOff>
    </xdr:from>
    <xdr:to>
      <xdr:col>16</xdr:col>
      <xdr:colOff>7620</xdr:colOff>
      <xdr:row>17</xdr:row>
      <xdr:rowOff>83820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EFDB0673-8501-4022-95BF-7A5099DCF3A5}"/>
            </a:ext>
          </a:extLst>
        </xdr:cNvPr>
        <xdr:cNvCxnSpPr/>
      </xdr:nvCxnSpPr>
      <xdr:spPr>
        <a:xfrm>
          <a:off x="6972300" y="481012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17</xdr:row>
      <xdr:rowOff>91440</xdr:rowOff>
    </xdr:from>
    <xdr:to>
      <xdr:col>16</xdr:col>
      <xdr:colOff>7620</xdr:colOff>
      <xdr:row>102</xdr:row>
      <xdr:rowOff>121920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655FE633-7421-4076-A2FE-B94A6C0B69EC}"/>
            </a:ext>
          </a:extLst>
        </xdr:cNvPr>
        <xdr:cNvCxnSpPr/>
      </xdr:nvCxnSpPr>
      <xdr:spPr>
        <a:xfrm>
          <a:off x="6972300" y="481965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107</xdr:row>
      <xdr:rowOff>66675</xdr:rowOff>
    </xdr:from>
    <xdr:to>
      <xdr:col>15</xdr:col>
      <xdr:colOff>542925</xdr:colOff>
      <xdr:row>108</xdr:row>
      <xdr:rowOff>76200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D11F6DB0-EC82-41ED-9DE0-FA3A74C83AE5}"/>
            </a:ext>
          </a:extLst>
        </xdr:cNvPr>
        <xdr:cNvCxnSpPr/>
      </xdr:nvCxnSpPr>
      <xdr:spPr>
        <a:xfrm flipV="1">
          <a:off x="6972300" y="51511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108</xdr:row>
      <xdr:rowOff>83820</xdr:rowOff>
    </xdr:from>
    <xdr:to>
      <xdr:col>16</xdr:col>
      <xdr:colOff>7620</xdr:colOff>
      <xdr:row>108</xdr:row>
      <xdr:rowOff>83820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60FA88EB-6B2C-49B8-8E63-211B5DFC8213}"/>
            </a:ext>
          </a:extLst>
        </xdr:cNvPr>
        <xdr:cNvCxnSpPr/>
      </xdr:nvCxnSpPr>
      <xdr:spPr>
        <a:xfrm>
          <a:off x="6972300" y="5353050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108</xdr:row>
      <xdr:rowOff>91440</xdr:rowOff>
    </xdr:from>
    <xdr:to>
      <xdr:col>16</xdr:col>
      <xdr:colOff>7620</xdr:colOff>
      <xdr:row>113</xdr:row>
      <xdr:rowOff>121920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C7454324-6F07-4F80-8ADD-F30E782353E2}"/>
            </a:ext>
          </a:extLst>
        </xdr:cNvPr>
        <xdr:cNvCxnSpPr/>
      </xdr:nvCxnSpPr>
      <xdr:spPr>
        <a:xfrm>
          <a:off x="6972300" y="5362575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110</xdr:row>
      <xdr:rowOff>66675</xdr:rowOff>
    </xdr:from>
    <xdr:to>
      <xdr:col>17</xdr:col>
      <xdr:colOff>542925</xdr:colOff>
      <xdr:row>113</xdr:row>
      <xdr:rowOff>76200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B46FF369-F8D2-48BA-B9B6-5D8CC7445D4D}"/>
            </a:ext>
          </a:extLst>
        </xdr:cNvPr>
        <xdr:cNvCxnSpPr/>
      </xdr:nvCxnSpPr>
      <xdr:spPr>
        <a:xfrm flipV="1">
          <a:off x="7962900" y="4970145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113</xdr:row>
      <xdr:rowOff>83820</xdr:rowOff>
    </xdr:from>
    <xdr:to>
      <xdr:col>18</xdr:col>
      <xdr:colOff>7620</xdr:colOff>
      <xdr:row>113</xdr:row>
      <xdr:rowOff>83820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9302F4BE-C6A9-4E67-8B8D-F99FA9F284AD}"/>
            </a:ext>
          </a:extLst>
        </xdr:cNvPr>
        <xdr:cNvCxnSpPr/>
      </xdr:nvCxnSpPr>
      <xdr:spPr>
        <a:xfrm>
          <a:off x="7962900" y="5172075"/>
          <a:ext cx="561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426720</xdr:colOff>
      <xdr:row>113</xdr:row>
      <xdr:rowOff>91440</xdr:rowOff>
    </xdr:from>
    <xdr:to>
      <xdr:col>18</xdr:col>
      <xdr:colOff>7620</xdr:colOff>
      <xdr:row>115</xdr:row>
      <xdr:rowOff>121920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F3AF2F98-4848-408F-9240-F0583B5620B8}"/>
            </a:ext>
          </a:extLst>
        </xdr:cNvPr>
        <xdr:cNvCxnSpPr/>
      </xdr:nvCxnSpPr>
      <xdr:spPr>
        <a:xfrm>
          <a:off x="7962900" y="5181600"/>
          <a:ext cx="5619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109</xdr:row>
      <xdr:rowOff>64770</xdr:rowOff>
    </xdr:from>
    <xdr:to>
      <xdr:col>19</xdr:col>
      <xdr:colOff>544830</xdr:colOff>
      <xdr:row>110</xdr:row>
      <xdr:rowOff>66675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4DC49947-2D56-4FF5-B2B9-C721386649C5}"/>
            </a:ext>
          </a:extLst>
        </xdr:cNvPr>
        <xdr:cNvCxnSpPr/>
      </xdr:nvCxnSpPr>
      <xdr:spPr>
        <a:xfrm flipV="1">
          <a:off x="9906000" y="3884295"/>
          <a:ext cx="70675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110</xdr:row>
      <xdr:rowOff>83820</xdr:rowOff>
    </xdr:from>
    <xdr:to>
      <xdr:col>20</xdr:col>
      <xdr:colOff>7620</xdr:colOff>
      <xdr:row>110</xdr:row>
      <xdr:rowOff>83820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7EF78A17-8A0C-4011-8FA5-095B2F087314}"/>
            </a:ext>
          </a:extLst>
        </xdr:cNvPr>
        <xdr:cNvCxnSpPr/>
      </xdr:nvCxnSpPr>
      <xdr:spPr>
        <a:xfrm>
          <a:off x="6972300" y="589597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110</xdr:row>
      <xdr:rowOff>91440</xdr:rowOff>
    </xdr:from>
    <xdr:to>
      <xdr:col>20</xdr:col>
      <xdr:colOff>7620</xdr:colOff>
      <xdr:row>111</xdr:row>
      <xdr:rowOff>121920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27EA49C8-D427-49A0-9E5A-C1BFE13DD885}"/>
            </a:ext>
          </a:extLst>
        </xdr:cNvPr>
        <xdr:cNvCxnSpPr/>
      </xdr:nvCxnSpPr>
      <xdr:spPr>
        <a:xfrm>
          <a:off x="6972300" y="590550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457200</xdr:colOff>
      <xdr:row>112</xdr:row>
      <xdr:rowOff>64770</xdr:rowOff>
    </xdr:from>
    <xdr:to>
      <xdr:col>19</xdr:col>
      <xdr:colOff>544830</xdr:colOff>
      <xdr:row>113</xdr:row>
      <xdr:rowOff>66675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7D4D00FE-EEC8-4779-94BC-532CB4DC909B}"/>
            </a:ext>
          </a:extLst>
        </xdr:cNvPr>
        <xdr:cNvCxnSpPr/>
      </xdr:nvCxnSpPr>
      <xdr:spPr>
        <a:xfrm flipV="1">
          <a:off x="9915525" y="4427220"/>
          <a:ext cx="69723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113</xdr:row>
      <xdr:rowOff>83820</xdr:rowOff>
    </xdr:from>
    <xdr:to>
      <xdr:col>20</xdr:col>
      <xdr:colOff>7620</xdr:colOff>
      <xdr:row>113</xdr:row>
      <xdr:rowOff>83820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A958C1A6-8BDA-46F4-BAD5-ACC534E8D7DC}"/>
            </a:ext>
          </a:extLst>
        </xdr:cNvPr>
        <xdr:cNvCxnSpPr/>
      </xdr:nvCxnSpPr>
      <xdr:spPr>
        <a:xfrm>
          <a:off x="6972300" y="5895975"/>
          <a:ext cx="590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113</xdr:row>
      <xdr:rowOff>91440</xdr:rowOff>
    </xdr:from>
    <xdr:to>
      <xdr:col>20</xdr:col>
      <xdr:colOff>7620</xdr:colOff>
      <xdr:row>114</xdr:row>
      <xdr:rowOff>121920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E490CA5E-F860-4798-8B25-FA18862FADCC}"/>
            </a:ext>
          </a:extLst>
        </xdr:cNvPr>
        <xdr:cNvCxnSpPr/>
      </xdr:nvCxnSpPr>
      <xdr:spPr>
        <a:xfrm>
          <a:off x="6972300" y="5905500"/>
          <a:ext cx="5905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64770</xdr:rowOff>
    </xdr:from>
    <xdr:to>
      <xdr:col>18</xdr:col>
      <xdr:colOff>1905</xdr:colOff>
      <xdr:row>102</xdr:row>
      <xdr:rowOff>76200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B2F8B6CF-42EA-48D2-9D8A-C4A4E006F457}"/>
            </a:ext>
          </a:extLst>
        </xdr:cNvPr>
        <xdr:cNvCxnSpPr/>
      </xdr:nvCxnSpPr>
      <xdr:spPr>
        <a:xfrm flipV="1">
          <a:off x="8924925" y="3522345"/>
          <a:ext cx="535305" cy="554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102</xdr:row>
      <xdr:rowOff>83820</xdr:rowOff>
    </xdr:from>
    <xdr:to>
      <xdr:col>18</xdr:col>
      <xdr:colOff>7620</xdr:colOff>
      <xdr:row>102</xdr:row>
      <xdr:rowOff>83820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EDAC37F0-8600-47D5-97B7-FC92B9D6F254}"/>
            </a:ext>
          </a:extLst>
        </xdr:cNvPr>
        <xdr:cNvCxnSpPr/>
      </xdr:nvCxnSpPr>
      <xdr:spPr>
        <a:xfrm>
          <a:off x="7962900" y="5715000"/>
          <a:ext cx="561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426720</xdr:colOff>
      <xdr:row>102</xdr:row>
      <xdr:rowOff>91440</xdr:rowOff>
    </xdr:from>
    <xdr:to>
      <xdr:col>18</xdr:col>
      <xdr:colOff>7620</xdr:colOff>
      <xdr:row>105</xdr:row>
      <xdr:rowOff>121920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EE116F60-7A98-418C-8404-0771676C48DA}"/>
            </a:ext>
          </a:extLst>
        </xdr:cNvPr>
        <xdr:cNvCxnSpPr/>
      </xdr:nvCxnSpPr>
      <xdr:spPr>
        <a:xfrm>
          <a:off x="7962900" y="5724525"/>
          <a:ext cx="5619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66675</xdr:rowOff>
    </xdr:from>
    <xdr:to>
      <xdr:col>19</xdr:col>
      <xdr:colOff>542925</xdr:colOff>
      <xdr:row>30</xdr:row>
      <xdr:rowOff>76200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F4AE1D04-3D1C-4763-8888-49D8AF83846E}"/>
            </a:ext>
          </a:extLst>
        </xdr:cNvPr>
        <xdr:cNvCxnSpPr/>
      </xdr:nvCxnSpPr>
      <xdr:spPr>
        <a:xfrm flipV="1">
          <a:off x="7962900" y="65989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30</xdr:row>
      <xdr:rowOff>83820</xdr:rowOff>
    </xdr:from>
    <xdr:to>
      <xdr:col>20</xdr:col>
      <xdr:colOff>7620</xdr:colOff>
      <xdr:row>30</xdr:row>
      <xdr:rowOff>83820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E322353C-EAB4-4EE9-8180-256E1BE46B92}"/>
            </a:ext>
          </a:extLst>
        </xdr:cNvPr>
        <xdr:cNvCxnSpPr/>
      </xdr:nvCxnSpPr>
      <xdr:spPr>
        <a:xfrm>
          <a:off x="7962900" y="6800850"/>
          <a:ext cx="561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30</xdr:row>
      <xdr:rowOff>91440</xdr:rowOff>
    </xdr:from>
    <xdr:to>
      <xdr:col>20</xdr:col>
      <xdr:colOff>7620</xdr:colOff>
      <xdr:row>96</xdr:row>
      <xdr:rowOff>121920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8C0DD7A-CFC4-4EE6-B89E-878393CEC36E}"/>
            </a:ext>
          </a:extLst>
        </xdr:cNvPr>
        <xdr:cNvCxnSpPr/>
      </xdr:nvCxnSpPr>
      <xdr:spPr>
        <a:xfrm>
          <a:off x="7962900" y="6810375"/>
          <a:ext cx="5619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101</xdr:row>
      <xdr:rowOff>66675</xdr:rowOff>
    </xdr:from>
    <xdr:to>
      <xdr:col>19</xdr:col>
      <xdr:colOff>542925</xdr:colOff>
      <xdr:row>102</xdr:row>
      <xdr:rowOff>76200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3B2DE265-E619-44DD-85B2-84E85FD2740D}"/>
            </a:ext>
          </a:extLst>
        </xdr:cNvPr>
        <xdr:cNvCxnSpPr/>
      </xdr:nvCxnSpPr>
      <xdr:spPr>
        <a:xfrm flipV="1">
          <a:off x="7962900" y="65989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102</xdr:row>
      <xdr:rowOff>83820</xdr:rowOff>
    </xdr:from>
    <xdr:to>
      <xdr:col>20</xdr:col>
      <xdr:colOff>7620</xdr:colOff>
      <xdr:row>102</xdr:row>
      <xdr:rowOff>83820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B0BC77D7-E746-4F41-8B97-9F3E5FC4E85C}"/>
            </a:ext>
          </a:extLst>
        </xdr:cNvPr>
        <xdr:cNvCxnSpPr/>
      </xdr:nvCxnSpPr>
      <xdr:spPr>
        <a:xfrm>
          <a:off x="7962900" y="6800850"/>
          <a:ext cx="561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102</xdr:row>
      <xdr:rowOff>91440</xdr:rowOff>
    </xdr:from>
    <xdr:to>
      <xdr:col>20</xdr:col>
      <xdr:colOff>7620</xdr:colOff>
      <xdr:row>103</xdr:row>
      <xdr:rowOff>121920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AFAC5C23-0D90-4086-86B2-8BFA902B311B}"/>
            </a:ext>
          </a:extLst>
        </xdr:cNvPr>
        <xdr:cNvCxnSpPr/>
      </xdr:nvCxnSpPr>
      <xdr:spPr>
        <a:xfrm>
          <a:off x="7962900" y="6810375"/>
          <a:ext cx="5619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104</xdr:row>
      <xdr:rowOff>66675</xdr:rowOff>
    </xdr:from>
    <xdr:to>
      <xdr:col>19</xdr:col>
      <xdr:colOff>542925</xdr:colOff>
      <xdr:row>105</xdr:row>
      <xdr:rowOff>76200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14A97B65-3AF9-46FC-9425-9AEFB0B7DA19}"/>
            </a:ext>
          </a:extLst>
        </xdr:cNvPr>
        <xdr:cNvCxnSpPr/>
      </xdr:nvCxnSpPr>
      <xdr:spPr>
        <a:xfrm flipV="1">
          <a:off x="7962900" y="6598920"/>
          <a:ext cx="5448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105</xdr:row>
      <xdr:rowOff>83820</xdr:rowOff>
    </xdr:from>
    <xdr:to>
      <xdr:col>20</xdr:col>
      <xdr:colOff>7620</xdr:colOff>
      <xdr:row>105</xdr:row>
      <xdr:rowOff>83820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61DB7F79-EDE5-4673-AA24-DC8F3706E0BB}"/>
            </a:ext>
          </a:extLst>
        </xdr:cNvPr>
        <xdr:cNvCxnSpPr/>
      </xdr:nvCxnSpPr>
      <xdr:spPr>
        <a:xfrm>
          <a:off x="7962900" y="6800850"/>
          <a:ext cx="561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105</xdr:row>
      <xdr:rowOff>91440</xdr:rowOff>
    </xdr:from>
    <xdr:to>
      <xdr:col>20</xdr:col>
      <xdr:colOff>7620</xdr:colOff>
      <xdr:row>106</xdr:row>
      <xdr:rowOff>121920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7A8B67D3-77E9-4DAF-8054-05D61137E1BF}"/>
            </a:ext>
          </a:extLst>
        </xdr:cNvPr>
        <xdr:cNvCxnSpPr/>
      </xdr:nvCxnSpPr>
      <xdr:spPr>
        <a:xfrm>
          <a:off x="7962900" y="6810375"/>
          <a:ext cx="5619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447675</xdr:colOff>
      <xdr:row>20</xdr:row>
      <xdr:rowOff>64770</xdr:rowOff>
    </xdr:from>
    <xdr:to>
      <xdr:col>21</xdr:col>
      <xdr:colOff>544830</xdr:colOff>
      <xdr:row>30</xdr:row>
      <xdr:rowOff>66675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ECF09B6E-0FC8-455E-935F-63D65D7A2AC5}"/>
            </a:ext>
          </a:extLst>
        </xdr:cNvPr>
        <xdr:cNvCxnSpPr/>
      </xdr:nvCxnSpPr>
      <xdr:spPr>
        <a:xfrm flipV="1">
          <a:off x="9875520" y="6054090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419100</xdr:colOff>
      <xdr:row>30</xdr:row>
      <xdr:rowOff>83820</xdr:rowOff>
    </xdr:from>
    <xdr:to>
      <xdr:col>22</xdr:col>
      <xdr:colOff>7620</xdr:colOff>
      <xdr:row>30</xdr:row>
      <xdr:rowOff>83820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9FC87D4A-5226-49E8-AA84-D2576E152555}"/>
            </a:ext>
          </a:extLst>
        </xdr:cNvPr>
        <xdr:cNvCxnSpPr/>
      </xdr:nvCxnSpPr>
      <xdr:spPr>
        <a:xfrm>
          <a:off x="9877425" y="625792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426720</xdr:colOff>
      <xdr:row>30</xdr:row>
      <xdr:rowOff>91440</xdr:rowOff>
    </xdr:from>
    <xdr:to>
      <xdr:col>22</xdr:col>
      <xdr:colOff>7620</xdr:colOff>
      <xdr:row>58</xdr:row>
      <xdr:rowOff>121920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8D5603C1-222E-47BE-B413-9E5CC1BE41DE}"/>
            </a:ext>
          </a:extLst>
        </xdr:cNvPr>
        <xdr:cNvCxnSpPr/>
      </xdr:nvCxnSpPr>
      <xdr:spPr>
        <a:xfrm>
          <a:off x="9877425" y="6267450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447675</xdr:colOff>
      <xdr:row>93</xdr:row>
      <xdr:rowOff>64770</xdr:rowOff>
    </xdr:from>
    <xdr:to>
      <xdr:col>21</xdr:col>
      <xdr:colOff>544830</xdr:colOff>
      <xdr:row>96</xdr:row>
      <xdr:rowOff>66675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38DBD9E7-E321-48D9-B9AD-E161BAD5B803}"/>
            </a:ext>
          </a:extLst>
        </xdr:cNvPr>
        <xdr:cNvCxnSpPr/>
      </xdr:nvCxnSpPr>
      <xdr:spPr>
        <a:xfrm flipV="1">
          <a:off x="9875520" y="6054090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419100</xdr:colOff>
      <xdr:row>96</xdr:row>
      <xdr:rowOff>83820</xdr:rowOff>
    </xdr:from>
    <xdr:to>
      <xdr:col>22</xdr:col>
      <xdr:colOff>7620</xdr:colOff>
      <xdr:row>96</xdr:row>
      <xdr:rowOff>83820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8D3D1FD7-D468-48A3-86EB-945BE8F931D1}"/>
            </a:ext>
          </a:extLst>
        </xdr:cNvPr>
        <xdr:cNvCxnSpPr/>
      </xdr:nvCxnSpPr>
      <xdr:spPr>
        <a:xfrm>
          <a:off x="9877425" y="6257925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426720</xdr:colOff>
      <xdr:row>96</xdr:row>
      <xdr:rowOff>91440</xdr:rowOff>
    </xdr:from>
    <xdr:to>
      <xdr:col>22</xdr:col>
      <xdr:colOff>7620</xdr:colOff>
      <xdr:row>99</xdr:row>
      <xdr:rowOff>121920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E4C446B4-950B-40A8-9DC8-5AB463468089}"/>
            </a:ext>
          </a:extLst>
        </xdr:cNvPr>
        <xdr:cNvCxnSpPr/>
      </xdr:nvCxnSpPr>
      <xdr:spPr>
        <a:xfrm>
          <a:off x="9877425" y="6267450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19</xdr:row>
      <xdr:rowOff>64770</xdr:rowOff>
    </xdr:from>
    <xdr:to>
      <xdr:col>23</xdr:col>
      <xdr:colOff>544830</xdr:colOff>
      <xdr:row>20</xdr:row>
      <xdr:rowOff>66675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7FAA1002-2E3E-4D9D-BC84-89990A11B10B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20</xdr:row>
      <xdr:rowOff>83820</xdr:rowOff>
    </xdr:from>
    <xdr:to>
      <xdr:col>24</xdr:col>
      <xdr:colOff>7620</xdr:colOff>
      <xdr:row>20</xdr:row>
      <xdr:rowOff>83820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46DE4308-CEEB-4D7C-BDCE-F9165D5825A0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20</xdr:row>
      <xdr:rowOff>91440</xdr:rowOff>
    </xdr:from>
    <xdr:to>
      <xdr:col>24</xdr:col>
      <xdr:colOff>7620</xdr:colOff>
      <xdr:row>21</xdr:row>
      <xdr:rowOff>121920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94F3B6B2-2F4D-41C4-90C2-5035C1B829CF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23</xdr:row>
      <xdr:rowOff>64770</xdr:rowOff>
    </xdr:from>
    <xdr:to>
      <xdr:col>23</xdr:col>
      <xdr:colOff>544830</xdr:colOff>
      <xdr:row>30</xdr:row>
      <xdr:rowOff>66675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9D305C46-24F5-4E56-B779-2C23A580FBF0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30</xdr:row>
      <xdr:rowOff>83820</xdr:rowOff>
    </xdr:from>
    <xdr:to>
      <xdr:col>24</xdr:col>
      <xdr:colOff>7620</xdr:colOff>
      <xdr:row>30</xdr:row>
      <xdr:rowOff>83820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B871FE9-4814-4562-B80C-54291EBCE069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30</xdr:row>
      <xdr:rowOff>91440</xdr:rowOff>
    </xdr:from>
    <xdr:to>
      <xdr:col>24</xdr:col>
      <xdr:colOff>7620</xdr:colOff>
      <xdr:row>43</xdr:row>
      <xdr:rowOff>121920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8CBE617D-882F-4457-AC0F-EE570B50A3B4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47</xdr:row>
      <xdr:rowOff>64770</xdr:rowOff>
    </xdr:from>
    <xdr:to>
      <xdr:col>23</xdr:col>
      <xdr:colOff>544830</xdr:colOff>
      <xdr:row>58</xdr:row>
      <xdr:rowOff>66675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F46A5C8B-A2F9-4A30-AF36-99682B6C626F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58</xdr:row>
      <xdr:rowOff>83820</xdr:rowOff>
    </xdr:from>
    <xdr:to>
      <xdr:col>24</xdr:col>
      <xdr:colOff>7620</xdr:colOff>
      <xdr:row>58</xdr:row>
      <xdr:rowOff>83820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0823CB5A-9A60-451A-9E27-D2644443FC1B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58</xdr:row>
      <xdr:rowOff>91440</xdr:rowOff>
    </xdr:from>
    <xdr:to>
      <xdr:col>24</xdr:col>
      <xdr:colOff>7620</xdr:colOff>
      <xdr:row>87</xdr:row>
      <xdr:rowOff>121920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90FE2281-2F11-47C0-A50F-7A63524EDE7A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92</xdr:row>
      <xdr:rowOff>64770</xdr:rowOff>
    </xdr:from>
    <xdr:to>
      <xdr:col>23</xdr:col>
      <xdr:colOff>544830</xdr:colOff>
      <xdr:row>93</xdr:row>
      <xdr:rowOff>66675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D08578C2-EA34-4AEF-B732-5DDF53522AA7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93</xdr:row>
      <xdr:rowOff>83820</xdr:rowOff>
    </xdr:from>
    <xdr:to>
      <xdr:col>24</xdr:col>
      <xdr:colOff>7620</xdr:colOff>
      <xdr:row>93</xdr:row>
      <xdr:rowOff>83820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4588A92A-1E19-4C13-83D1-A7D6DE82BE3D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93</xdr:row>
      <xdr:rowOff>91440</xdr:rowOff>
    </xdr:from>
    <xdr:to>
      <xdr:col>24</xdr:col>
      <xdr:colOff>7620</xdr:colOff>
      <xdr:row>94</xdr:row>
      <xdr:rowOff>121920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53E1DF7A-EFEB-49EC-8542-360EE057A16A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95</xdr:row>
      <xdr:rowOff>64770</xdr:rowOff>
    </xdr:from>
    <xdr:to>
      <xdr:col>23</xdr:col>
      <xdr:colOff>544830</xdr:colOff>
      <xdr:row>96</xdr:row>
      <xdr:rowOff>66675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4CCC0913-C089-44FA-98CB-FCA9A575364A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96</xdr:row>
      <xdr:rowOff>83820</xdr:rowOff>
    </xdr:from>
    <xdr:to>
      <xdr:col>24</xdr:col>
      <xdr:colOff>7620</xdr:colOff>
      <xdr:row>96</xdr:row>
      <xdr:rowOff>83820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EAF74ED8-BCAD-47FD-8BAB-7C441B1F3FF0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96</xdr:row>
      <xdr:rowOff>91440</xdr:rowOff>
    </xdr:from>
    <xdr:to>
      <xdr:col>24</xdr:col>
      <xdr:colOff>7620</xdr:colOff>
      <xdr:row>97</xdr:row>
      <xdr:rowOff>121920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76E3A46C-5B56-42AA-AB41-3CDC1F5185CF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98</xdr:row>
      <xdr:rowOff>64770</xdr:rowOff>
    </xdr:from>
    <xdr:to>
      <xdr:col>23</xdr:col>
      <xdr:colOff>544830</xdr:colOff>
      <xdr:row>99</xdr:row>
      <xdr:rowOff>66675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F64032D4-B4B3-4667-A714-2E7FE9908CA6}"/>
            </a:ext>
          </a:extLst>
        </xdr:cNvPr>
        <xdr:cNvCxnSpPr/>
      </xdr:nvCxnSpPr>
      <xdr:spPr>
        <a:xfrm flipV="1">
          <a:off x="9875520" y="8197215"/>
          <a:ext cx="39814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99</xdr:row>
      <xdr:rowOff>83820</xdr:rowOff>
    </xdr:from>
    <xdr:to>
      <xdr:col>24</xdr:col>
      <xdr:colOff>7620</xdr:colOff>
      <xdr:row>99</xdr:row>
      <xdr:rowOff>83820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968FC6F5-0778-4545-96BE-BEC75AEEFC8A}"/>
            </a:ext>
          </a:extLst>
        </xdr:cNvPr>
        <xdr:cNvCxnSpPr/>
      </xdr:nvCxnSpPr>
      <xdr:spPr>
        <a:xfrm>
          <a:off x="9877425" y="8401050"/>
          <a:ext cx="4095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99</xdr:row>
      <xdr:rowOff>91440</xdr:rowOff>
    </xdr:from>
    <xdr:to>
      <xdr:col>24</xdr:col>
      <xdr:colOff>7620</xdr:colOff>
      <xdr:row>100</xdr:row>
      <xdr:rowOff>121920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95C6CC03-B616-4BE2-BCF3-A02BB4D2242F}"/>
            </a:ext>
          </a:extLst>
        </xdr:cNvPr>
        <xdr:cNvCxnSpPr/>
      </xdr:nvCxnSpPr>
      <xdr:spPr>
        <a:xfrm>
          <a:off x="9877425" y="8410575"/>
          <a:ext cx="40957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22</xdr:row>
      <xdr:rowOff>64770</xdr:rowOff>
    </xdr:from>
    <xdr:to>
      <xdr:col>25</xdr:col>
      <xdr:colOff>544830</xdr:colOff>
      <xdr:row>23</xdr:row>
      <xdr:rowOff>66675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22A88903-B175-4370-BD62-A2EC544AA51C}"/>
            </a:ext>
          </a:extLst>
        </xdr:cNvPr>
        <xdr:cNvCxnSpPr/>
      </xdr:nvCxnSpPr>
      <xdr:spPr>
        <a:xfrm flipV="1">
          <a:off x="11588115" y="5749290"/>
          <a:ext cx="60007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23</xdr:row>
      <xdr:rowOff>83820</xdr:rowOff>
    </xdr:from>
    <xdr:to>
      <xdr:col>26</xdr:col>
      <xdr:colOff>7620</xdr:colOff>
      <xdr:row>23</xdr:row>
      <xdr:rowOff>83820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511B3163-7EF8-4838-A6C9-7A3EC3B91442}"/>
            </a:ext>
          </a:extLst>
        </xdr:cNvPr>
        <xdr:cNvCxnSpPr/>
      </xdr:nvCxnSpPr>
      <xdr:spPr>
        <a:xfrm>
          <a:off x="11559540" y="5951220"/>
          <a:ext cx="640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23</xdr:row>
      <xdr:rowOff>91440</xdr:rowOff>
    </xdr:from>
    <xdr:to>
      <xdr:col>26</xdr:col>
      <xdr:colOff>7620</xdr:colOff>
      <xdr:row>25</xdr:row>
      <xdr:rowOff>121920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4BA238F3-574D-4986-B9EC-AE5B4FB7CAFB}"/>
            </a:ext>
          </a:extLst>
        </xdr:cNvPr>
        <xdr:cNvCxnSpPr/>
      </xdr:nvCxnSpPr>
      <xdr:spPr>
        <a:xfrm>
          <a:off x="11567160" y="5958840"/>
          <a:ext cx="63246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29</xdr:row>
      <xdr:rowOff>64770</xdr:rowOff>
    </xdr:from>
    <xdr:to>
      <xdr:col>25</xdr:col>
      <xdr:colOff>544830</xdr:colOff>
      <xdr:row>30</xdr:row>
      <xdr:rowOff>66675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0123DB1-E8F4-4768-9C2F-EC245F47A1D2}"/>
            </a:ext>
          </a:extLst>
        </xdr:cNvPr>
        <xdr:cNvCxnSpPr/>
      </xdr:nvCxnSpPr>
      <xdr:spPr>
        <a:xfrm flipV="1">
          <a:off x="11588115" y="5749290"/>
          <a:ext cx="60007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30</xdr:row>
      <xdr:rowOff>83820</xdr:rowOff>
    </xdr:from>
    <xdr:to>
      <xdr:col>26</xdr:col>
      <xdr:colOff>7620</xdr:colOff>
      <xdr:row>30</xdr:row>
      <xdr:rowOff>83820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E8D93C15-7ABC-4D9E-BF38-0047AC4D8470}"/>
            </a:ext>
          </a:extLst>
        </xdr:cNvPr>
        <xdr:cNvCxnSpPr/>
      </xdr:nvCxnSpPr>
      <xdr:spPr>
        <a:xfrm>
          <a:off x="11559540" y="5951220"/>
          <a:ext cx="640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30</xdr:row>
      <xdr:rowOff>91440</xdr:rowOff>
    </xdr:from>
    <xdr:to>
      <xdr:col>26</xdr:col>
      <xdr:colOff>7620</xdr:colOff>
      <xdr:row>32</xdr:row>
      <xdr:rowOff>121920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A7C37B30-D4B0-4C23-812F-3A0F106E0AF1}"/>
            </a:ext>
          </a:extLst>
        </xdr:cNvPr>
        <xdr:cNvCxnSpPr/>
      </xdr:nvCxnSpPr>
      <xdr:spPr>
        <a:xfrm>
          <a:off x="11567160" y="5958840"/>
          <a:ext cx="63246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42</xdr:row>
      <xdr:rowOff>64770</xdr:rowOff>
    </xdr:from>
    <xdr:to>
      <xdr:col>25</xdr:col>
      <xdr:colOff>544830</xdr:colOff>
      <xdr:row>43</xdr:row>
      <xdr:rowOff>66675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964B44F2-527F-4BFB-B87E-E2F5E6C18E53}"/>
            </a:ext>
          </a:extLst>
        </xdr:cNvPr>
        <xdr:cNvCxnSpPr/>
      </xdr:nvCxnSpPr>
      <xdr:spPr>
        <a:xfrm flipV="1">
          <a:off x="11588115" y="5749290"/>
          <a:ext cx="60007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43</xdr:row>
      <xdr:rowOff>83820</xdr:rowOff>
    </xdr:from>
    <xdr:to>
      <xdr:col>26</xdr:col>
      <xdr:colOff>7620</xdr:colOff>
      <xdr:row>43</xdr:row>
      <xdr:rowOff>83820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30F7FA4C-8CA0-4320-B995-B02FF4A2957B}"/>
            </a:ext>
          </a:extLst>
        </xdr:cNvPr>
        <xdr:cNvCxnSpPr/>
      </xdr:nvCxnSpPr>
      <xdr:spPr>
        <a:xfrm>
          <a:off x="11559540" y="5951220"/>
          <a:ext cx="640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43</xdr:row>
      <xdr:rowOff>91440</xdr:rowOff>
    </xdr:from>
    <xdr:to>
      <xdr:col>26</xdr:col>
      <xdr:colOff>7620</xdr:colOff>
      <xdr:row>44</xdr:row>
      <xdr:rowOff>121920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68A2444A-1371-486C-AA2A-416095FCEAEF}"/>
            </a:ext>
          </a:extLst>
        </xdr:cNvPr>
        <xdr:cNvCxnSpPr/>
      </xdr:nvCxnSpPr>
      <xdr:spPr>
        <a:xfrm>
          <a:off x="11567160" y="5958840"/>
          <a:ext cx="63246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447675</xdr:colOff>
      <xdr:row>24</xdr:row>
      <xdr:rowOff>64770</xdr:rowOff>
    </xdr:from>
    <xdr:to>
      <xdr:col>27</xdr:col>
      <xdr:colOff>544830</xdr:colOff>
      <xdr:row>25</xdr:row>
      <xdr:rowOff>66675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20275335-0FC7-49FC-8260-090FE2D3E1F2}"/>
            </a:ext>
          </a:extLst>
        </xdr:cNvPr>
        <xdr:cNvCxnSpPr/>
      </xdr:nvCxnSpPr>
      <xdr:spPr>
        <a:xfrm flipV="1">
          <a:off x="11588115" y="6115050"/>
          <a:ext cx="60007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25</xdr:row>
      <xdr:rowOff>83820</xdr:rowOff>
    </xdr:from>
    <xdr:to>
      <xdr:col>28</xdr:col>
      <xdr:colOff>7620</xdr:colOff>
      <xdr:row>25</xdr:row>
      <xdr:rowOff>83820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84CC2E9A-6E37-4644-9F01-B907A11D9858}"/>
            </a:ext>
          </a:extLst>
        </xdr:cNvPr>
        <xdr:cNvCxnSpPr/>
      </xdr:nvCxnSpPr>
      <xdr:spPr>
        <a:xfrm>
          <a:off x="11559540" y="6316980"/>
          <a:ext cx="640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25</xdr:row>
      <xdr:rowOff>91440</xdr:rowOff>
    </xdr:from>
    <xdr:to>
      <xdr:col>28</xdr:col>
      <xdr:colOff>7620</xdr:colOff>
      <xdr:row>27</xdr:row>
      <xdr:rowOff>121920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9331EB88-D172-4E4C-A795-8277ED500AF3}"/>
            </a:ext>
          </a:extLst>
        </xdr:cNvPr>
        <xdr:cNvCxnSpPr/>
      </xdr:nvCxnSpPr>
      <xdr:spPr>
        <a:xfrm>
          <a:off x="11567160" y="6324600"/>
          <a:ext cx="63246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26</xdr:row>
      <xdr:rowOff>64770</xdr:rowOff>
    </xdr:from>
    <xdr:to>
      <xdr:col>29</xdr:col>
      <xdr:colOff>544830</xdr:colOff>
      <xdr:row>27</xdr:row>
      <xdr:rowOff>66675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FE95F055-7E7E-43C7-AC2E-32987FCF858C}"/>
            </a:ext>
          </a:extLst>
        </xdr:cNvPr>
        <xdr:cNvCxnSpPr/>
      </xdr:nvCxnSpPr>
      <xdr:spPr>
        <a:xfrm flipV="1">
          <a:off x="12624435" y="59321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27</xdr:row>
      <xdr:rowOff>83820</xdr:rowOff>
    </xdr:from>
    <xdr:to>
      <xdr:col>30</xdr:col>
      <xdr:colOff>7620</xdr:colOff>
      <xdr:row>27</xdr:row>
      <xdr:rowOff>83820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EDD537B5-2BF6-4955-88F3-D99619576232}"/>
            </a:ext>
          </a:extLst>
        </xdr:cNvPr>
        <xdr:cNvCxnSpPr/>
      </xdr:nvCxnSpPr>
      <xdr:spPr>
        <a:xfrm>
          <a:off x="12611100" y="61341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27</xdr:row>
      <xdr:rowOff>91440</xdr:rowOff>
    </xdr:from>
    <xdr:to>
      <xdr:col>30</xdr:col>
      <xdr:colOff>7620</xdr:colOff>
      <xdr:row>28</xdr:row>
      <xdr:rowOff>121920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5C20600C-FFED-4C6D-9306-0BECFD7C2BDE}"/>
            </a:ext>
          </a:extLst>
        </xdr:cNvPr>
        <xdr:cNvCxnSpPr/>
      </xdr:nvCxnSpPr>
      <xdr:spPr>
        <a:xfrm>
          <a:off x="12618720" y="614172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447675</xdr:colOff>
      <xdr:row>31</xdr:row>
      <xdr:rowOff>64770</xdr:rowOff>
    </xdr:from>
    <xdr:to>
      <xdr:col>27</xdr:col>
      <xdr:colOff>544830</xdr:colOff>
      <xdr:row>32</xdr:row>
      <xdr:rowOff>66675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12C8A79C-DB82-437E-A193-C30799F8F9E0}"/>
            </a:ext>
          </a:extLst>
        </xdr:cNvPr>
        <xdr:cNvCxnSpPr/>
      </xdr:nvCxnSpPr>
      <xdr:spPr>
        <a:xfrm flipV="1">
          <a:off x="12624435" y="629793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32</xdr:row>
      <xdr:rowOff>83820</xdr:rowOff>
    </xdr:from>
    <xdr:to>
      <xdr:col>28</xdr:col>
      <xdr:colOff>7620</xdr:colOff>
      <xdr:row>32</xdr:row>
      <xdr:rowOff>83820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6479D878-5689-4CD5-85C9-3D9E18505C6B}"/>
            </a:ext>
          </a:extLst>
        </xdr:cNvPr>
        <xdr:cNvCxnSpPr/>
      </xdr:nvCxnSpPr>
      <xdr:spPr>
        <a:xfrm>
          <a:off x="12611100" y="649986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32</xdr:row>
      <xdr:rowOff>91440</xdr:rowOff>
    </xdr:from>
    <xdr:to>
      <xdr:col>28</xdr:col>
      <xdr:colOff>7620</xdr:colOff>
      <xdr:row>37</xdr:row>
      <xdr:rowOff>121920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A375232-568E-49FA-9D6A-0A4DC16D8B26}"/>
            </a:ext>
          </a:extLst>
        </xdr:cNvPr>
        <xdr:cNvCxnSpPr/>
      </xdr:nvCxnSpPr>
      <xdr:spPr>
        <a:xfrm>
          <a:off x="12618720" y="650748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34</xdr:row>
      <xdr:rowOff>64770</xdr:rowOff>
    </xdr:from>
    <xdr:to>
      <xdr:col>29</xdr:col>
      <xdr:colOff>544830</xdr:colOff>
      <xdr:row>37</xdr:row>
      <xdr:rowOff>66675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F1C5AAB7-EFDD-43E4-B3D6-92748072F82F}"/>
            </a:ext>
          </a:extLst>
        </xdr:cNvPr>
        <xdr:cNvCxnSpPr/>
      </xdr:nvCxnSpPr>
      <xdr:spPr>
        <a:xfrm flipV="1">
          <a:off x="14476095" y="4834890"/>
          <a:ext cx="4552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37</xdr:row>
      <xdr:rowOff>83820</xdr:rowOff>
    </xdr:from>
    <xdr:to>
      <xdr:col>30</xdr:col>
      <xdr:colOff>7620</xdr:colOff>
      <xdr:row>37</xdr:row>
      <xdr:rowOff>83820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A1C06F3E-AD17-4F3A-ADF9-44B4D7C89B17}"/>
            </a:ext>
          </a:extLst>
        </xdr:cNvPr>
        <xdr:cNvCxnSpPr/>
      </xdr:nvCxnSpPr>
      <xdr:spPr>
        <a:xfrm>
          <a:off x="14470380" y="503682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37</xdr:row>
      <xdr:rowOff>91440</xdr:rowOff>
    </xdr:from>
    <xdr:to>
      <xdr:col>30</xdr:col>
      <xdr:colOff>7620</xdr:colOff>
      <xdr:row>40</xdr:row>
      <xdr:rowOff>121920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4FFA9BB-5FEA-4A87-B3F1-FEF0FE1F8B42}"/>
            </a:ext>
          </a:extLst>
        </xdr:cNvPr>
        <xdr:cNvCxnSpPr/>
      </xdr:nvCxnSpPr>
      <xdr:spPr>
        <a:xfrm>
          <a:off x="14478000" y="5044440"/>
          <a:ext cx="4648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33</xdr:row>
      <xdr:rowOff>64770</xdr:rowOff>
    </xdr:from>
    <xdr:to>
      <xdr:col>31</xdr:col>
      <xdr:colOff>544830</xdr:colOff>
      <xdr:row>34</xdr:row>
      <xdr:rowOff>66675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99D4BA98-DCFD-441B-83C2-93F7585C038B}"/>
            </a:ext>
          </a:extLst>
        </xdr:cNvPr>
        <xdr:cNvCxnSpPr/>
      </xdr:nvCxnSpPr>
      <xdr:spPr>
        <a:xfrm flipV="1">
          <a:off x="14476095" y="4834890"/>
          <a:ext cx="4552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34</xdr:row>
      <xdr:rowOff>83820</xdr:rowOff>
    </xdr:from>
    <xdr:to>
      <xdr:col>32</xdr:col>
      <xdr:colOff>7620</xdr:colOff>
      <xdr:row>34</xdr:row>
      <xdr:rowOff>83820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6334C5A3-B960-4E80-A516-840C1BDA7AE8}"/>
            </a:ext>
          </a:extLst>
        </xdr:cNvPr>
        <xdr:cNvCxnSpPr/>
      </xdr:nvCxnSpPr>
      <xdr:spPr>
        <a:xfrm>
          <a:off x="14470380" y="503682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34</xdr:row>
      <xdr:rowOff>91440</xdr:rowOff>
    </xdr:from>
    <xdr:to>
      <xdr:col>32</xdr:col>
      <xdr:colOff>7620</xdr:colOff>
      <xdr:row>35</xdr:row>
      <xdr:rowOff>121920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E3434DDA-D922-46A2-9B89-2D5EB70ACAC8}"/>
            </a:ext>
          </a:extLst>
        </xdr:cNvPr>
        <xdr:cNvCxnSpPr/>
      </xdr:nvCxnSpPr>
      <xdr:spPr>
        <a:xfrm>
          <a:off x="14478000" y="5044440"/>
          <a:ext cx="4648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36</xdr:row>
      <xdr:rowOff>64770</xdr:rowOff>
    </xdr:from>
    <xdr:to>
      <xdr:col>31</xdr:col>
      <xdr:colOff>544830</xdr:colOff>
      <xdr:row>37</xdr:row>
      <xdr:rowOff>66675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75CDDC3D-4507-4AE6-AF2A-93652E1EEE28}"/>
            </a:ext>
          </a:extLst>
        </xdr:cNvPr>
        <xdr:cNvCxnSpPr/>
      </xdr:nvCxnSpPr>
      <xdr:spPr>
        <a:xfrm flipV="1">
          <a:off x="14476095" y="4834890"/>
          <a:ext cx="4552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37</xdr:row>
      <xdr:rowOff>83820</xdr:rowOff>
    </xdr:from>
    <xdr:to>
      <xdr:col>32</xdr:col>
      <xdr:colOff>7620</xdr:colOff>
      <xdr:row>37</xdr:row>
      <xdr:rowOff>83820</xdr:rowOff>
    </xdr:to>
    <xdr:cxnSp macro="">
      <xdr:nvCxnSpPr>
        <xdr:cNvPr id="216" name="Straight Arrow Connector 215">
          <a:extLst>
            <a:ext uri="{FF2B5EF4-FFF2-40B4-BE49-F238E27FC236}">
              <a16:creationId xmlns:a16="http://schemas.microsoft.com/office/drawing/2014/main" id="{62F56FD4-D65E-4956-BEF1-13DD4B1274C5}"/>
            </a:ext>
          </a:extLst>
        </xdr:cNvPr>
        <xdr:cNvCxnSpPr/>
      </xdr:nvCxnSpPr>
      <xdr:spPr>
        <a:xfrm>
          <a:off x="14470380" y="503682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37</xdr:row>
      <xdr:rowOff>91440</xdr:rowOff>
    </xdr:from>
    <xdr:to>
      <xdr:col>32</xdr:col>
      <xdr:colOff>7620</xdr:colOff>
      <xdr:row>38</xdr:row>
      <xdr:rowOff>121920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4DD8A29E-5B37-48B2-8F4A-2B1A7061AE4C}"/>
            </a:ext>
          </a:extLst>
        </xdr:cNvPr>
        <xdr:cNvCxnSpPr/>
      </xdr:nvCxnSpPr>
      <xdr:spPr>
        <a:xfrm>
          <a:off x="14478000" y="5044440"/>
          <a:ext cx="4648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39</xdr:row>
      <xdr:rowOff>64770</xdr:rowOff>
    </xdr:from>
    <xdr:to>
      <xdr:col>31</xdr:col>
      <xdr:colOff>544830</xdr:colOff>
      <xdr:row>40</xdr:row>
      <xdr:rowOff>66675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13D9AFF7-D3DA-495A-8CF0-83D2BC6A8BAD}"/>
            </a:ext>
          </a:extLst>
        </xdr:cNvPr>
        <xdr:cNvCxnSpPr/>
      </xdr:nvCxnSpPr>
      <xdr:spPr>
        <a:xfrm flipV="1">
          <a:off x="14476095" y="4834890"/>
          <a:ext cx="4552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40</xdr:row>
      <xdr:rowOff>83820</xdr:rowOff>
    </xdr:from>
    <xdr:to>
      <xdr:col>32</xdr:col>
      <xdr:colOff>7620</xdr:colOff>
      <xdr:row>40</xdr:row>
      <xdr:rowOff>83820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96AA01B7-0C69-4139-8ED6-AC34BBE29E81}"/>
            </a:ext>
          </a:extLst>
        </xdr:cNvPr>
        <xdr:cNvCxnSpPr/>
      </xdr:nvCxnSpPr>
      <xdr:spPr>
        <a:xfrm>
          <a:off x="14470380" y="503682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40</xdr:row>
      <xdr:rowOff>91440</xdr:rowOff>
    </xdr:from>
    <xdr:to>
      <xdr:col>32</xdr:col>
      <xdr:colOff>7620</xdr:colOff>
      <xdr:row>41</xdr:row>
      <xdr:rowOff>121920</xdr:rowOff>
    </xdr:to>
    <xdr:cxnSp macro="">
      <xdr:nvCxnSpPr>
        <xdr:cNvPr id="220" name="Straight Arrow Connector 219">
          <a:extLst>
            <a:ext uri="{FF2B5EF4-FFF2-40B4-BE49-F238E27FC236}">
              <a16:creationId xmlns:a16="http://schemas.microsoft.com/office/drawing/2014/main" id="{57643120-0CD8-4950-8ED9-99FEECC4489C}"/>
            </a:ext>
          </a:extLst>
        </xdr:cNvPr>
        <xdr:cNvCxnSpPr/>
      </xdr:nvCxnSpPr>
      <xdr:spPr>
        <a:xfrm>
          <a:off x="14478000" y="5044440"/>
          <a:ext cx="4648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45</xdr:row>
      <xdr:rowOff>64770</xdr:rowOff>
    </xdr:from>
    <xdr:to>
      <xdr:col>25</xdr:col>
      <xdr:colOff>544830</xdr:colOff>
      <xdr:row>47</xdr:row>
      <xdr:rowOff>66675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EDD06E0B-D2C2-42C2-898D-E9B0CF609819}"/>
            </a:ext>
          </a:extLst>
        </xdr:cNvPr>
        <xdr:cNvCxnSpPr/>
      </xdr:nvCxnSpPr>
      <xdr:spPr>
        <a:xfrm flipV="1">
          <a:off x="12624435" y="77609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47</xdr:row>
      <xdr:rowOff>83820</xdr:rowOff>
    </xdr:from>
    <xdr:to>
      <xdr:col>26</xdr:col>
      <xdr:colOff>7620</xdr:colOff>
      <xdr:row>47</xdr:row>
      <xdr:rowOff>83820</xdr:rowOff>
    </xdr:to>
    <xdr:cxnSp macro="">
      <xdr:nvCxnSpPr>
        <xdr:cNvPr id="222" name="Straight Arrow Connector 221">
          <a:extLst>
            <a:ext uri="{FF2B5EF4-FFF2-40B4-BE49-F238E27FC236}">
              <a16:creationId xmlns:a16="http://schemas.microsoft.com/office/drawing/2014/main" id="{AEBEEDAA-E56F-4D82-8A4D-8EF14715BC3C}"/>
            </a:ext>
          </a:extLst>
        </xdr:cNvPr>
        <xdr:cNvCxnSpPr/>
      </xdr:nvCxnSpPr>
      <xdr:spPr>
        <a:xfrm>
          <a:off x="12611100" y="79629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47</xdr:row>
      <xdr:rowOff>91440</xdr:rowOff>
    </xdr:from>
    <xdr:to>
      <xdr:col>26</xdr:col>
      <xdr:colOff>7620</xdr:colOff>
      <xdr:row>52</xdr:row>
      <xdr:rowOff>121920</xdr:rowOff>
    </xdr:to>
    <xdr:cxnSp macro="">
      <xdr:nvCxnSpPr>
        <xdr:cNvPr id="223" name="Straight Arrow Connector 222">
          <a:extLst>
            <a:ext uri="{FF2B5EF4-FFF2-40B4-BE49-F238E27FC236}">
              <a16:creationId xmlns:a16="http://schemas.microsoft.com/office/drawing/2014/main" id="{CFDD0454-5348-4EF1-85B7-561CAB538081}"/>
            </a:ext>
          </a:extLst>
        </xdr:cNvPr>
        <xdr:cNvCxnSpPr/>
      </xdr:nvCxnSpPr>
      <xdr:spPr>
        <a:xfrm>
          <a:off x="12618720" y="797052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432435</xdr:colOff>
      <xdr:row>55</xdr:row>
      <xdr:rowOff>64770</xdr:rowOff>
    </xdr:from>
    <xdr:to>
      <xdr:col>25</xdr:col>
      <xdr:colOff>491490</xdr:colOff>
      <xdr:row>58</xdr:row>
      <xdr:rowOff>66675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EACEFF5D-06FD-4800-BCD3-6391F5D75062}"/>
            </a:ext>
          </a:extLst>
        </xdr:cNvPr>
        <xdr:cNvCxnSpPr/>
      </xdr:nvCxnSpPr>
      <xdr:spPr>
        <a:xfrm flipV="1">
          <a:off x="12624435" y="95897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58</xdr:row>
      <xdr:rowOff>83820</xdr:rowOff>
    </xdr:from>
    <xdr:to>
      <xdr:col>26</xdr:col>
      <xdr:colOff>7620</xdr:colOff>
      <xdr:row>58</xdr:row>
      <xdr:rowOff>83820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F32257E2-A404-443F-997A-7C2F5692B532}"/>
            </a:ext>
          </a:extLst>
        </xdr:cNvPr>
        <xdr:cNvCxnSpPr/>
      </xdr:nvCxnSpPr>
      <xdr:spPr>
        <a:xfrm>
          <a:off x="12611100" y="79629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58</xdr:row>
      <xdr:rowOff>91440</xdr:rowOff>
    </xdr:from>
    <xdr:to>
      <xdr:col>26</xdr:col>
      <xdr:colOff>7620</xdr:colOff>
      <xdr:row>65</xdr:row>
      <xdr:rowOff>121920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B2F9E226-F250-420C-B040-03FA3930BF4A}"/>
            </a:ext>
          </a:extLst>
        </xdr:cNvPr>
        <xdr:cNvCxnSpPr/>
      </xdr:nvCxnSpPr>
      <xdr:spPr>
        <a:xfrm>
          <a:off x="12618720" y="797052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84</xdr:row>
      <xdr:rowOff>64770</xdr:rowOff>
    </xdr:from>
    <xdr:to>
      <xdr:col>25</xdr:col>
      <xdr:colOff>544830</xdr:colOff>
      <xdr:row>87</xdr:row>
      <xdr:rowOff>66675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37C8D5B3-A86A-43CC-B563-C437E6FAEB5A}"/>
            </a:ext>
          </a:extLst>
        </xdr:cNvPr>
        <xdr:cNvCxnSpPr/>
      </xdr:nvCxnSpPr>
      <xdr:spPr>
        <a:xfrm flipV="1">
          <a:off x="12624435" y="77609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87</xdr:row>
      <xdr:rowOff>83820</xdr:rowOff>
    </xdr:from>
    <xdr:to>
      <xdr:col>26</xdr:col>
      <xdr:colOff>7620</xdr:colOff>
      <xdr:row>87</xdr:row>
      <xdr:rowOff>83820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266EA8D2-E9A1-4C98-95DA-05E502F03B13}"/>
            </a:ext>
          </a:extLst>
        </xdr:cNvPr>
        <xdr:cNvCxnSpPr/>
      </xdr:nvCxnSpPr>
      <xdr:spPr>
        <a:xfrm>
          <a:off x="12611100" y="79629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87</xdr:row>
      <xdr:rowOff>91440</xdr:rowOff>
    </xdr:from>
    <xdr:to>
      <xdr:col>26</xdr:col>
      <xdr:colOff>7620</xdr:colOff>
      <xdr:row>90</xdr:row>
      <xdr:rowOff>121920</xdr:rowOff>
    </xdr:to>
    <xdr:cxnSp macro="">
      <xdr:nvCxnSpPr>
        <xdr:cNvPr id="229" name="Straight Arrow Connector 228">
          <a:extLst>
            <a:ext uri="{FF2B5EF4-FFF2-40B4-BE49-F238E27FC236}">
              <a16:creationId xmlns:a16="http://schemas.microsoft.com/office/drawing/2014/main" id="{DEBB36D6-F093-42B5-ADA7-0652AE66C171}"/>
            </a:ext>
          </a:extLst>
        </xdr:cNvPr>
        <xdr:cNvCxnSpPr/>
      </xdr:nvCxnSpPr>
      <xdr:spPr>
        <a:xfrm>
          <a:off x="12618720" y="797052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46</xdr:row>
      <xdr:rowOff>64770</xdr:rowOff>
    </xdr:from>
    <xdr:to>
      <xdr:col>27</xdr:col>
      <xdr:colOff>491490</xdr:colOff>
      <xdr:row>47</xdr:row>
      <xdr:rowOff>66675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39357889-66C5-4FC2-8DA8-826B66209652}"/>
            </a:ext>
          </a:extLst>
        </xdr:cNvPr>
        <xdr:cNvCxnSpPr/>
      </xdr:nvCxnSpPr>
      <xdr:spPr>
        <a:xfrm flipV="1">
          <a:off x="12624435" y="95897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47</xdr:row>
      <xdr:rowOff>83820</xdr:rowOff>
    </xdr:from>
    <xdr:to>
      <xdr:col>28</xdr:col>
      <xdr:colOff>7620</xdr:colOff>
      <xdr:row>47</xdr:row>
      <xdr:rowOff>83820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83E447C9-D255-4E0A-8B13-16B9C4F633A1}"/>
            </a:ext>
          </a:extLst>
        </xdr:cNvPr>
        <xdr:cNvCxnSpPr/>
      </xdr:nvCxnSpPr>
      <xdr:spPr>
        <a:xfrm>
          <a:off x="12611100" y="97917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47</xdr:row>
      <xdr:rowOff>91440</xdr:rowOff>
    </xdr:from>
    <xdr:to>
      <xdr:col>28</xdr:col>
      <xdr:colOff>7620</xdr:colOff>
      <xdr:row>49</xdr:row>
      <xdr:rowOff>121920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084093CF-5F14-4DAB-BF53-F11D4FCF55B0}"/>
            </a:ext>
          </a:extLst>
        </xdr:cNvPr>
        <xdr:cNvCxnSpPr/>
      </xdr:nvCxnSpPr>
      <xdr:spPr>
        <a:xfrm>
          <a:off x="12618720" y="9799320"/>
          <a:ext cx="51054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51</xdr:row>
      <xdr:rowOff>64770</xdr:rowOff>
    </xdr:from>
    <xdr:to>
      <xdr:col>27</xdr:col>
      <xdr:colOff>491490</xdr:colOff>
      <xdr:row>52</xdr:row>
      <xdr:rowOff>66675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C68611D3-6196-423B-B7E1-E47C3139C5C9}"/>
            </a:ext>
          </a:extLst>
        </xdr:cNvPr>
        <xdr:cNvCxnSpPr/>
      </xdr:nvCxnSpPr>
      <xdr:spPr>
        <a:xfrm flipV="1">
          <a:off x="12624435" y="958977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52</xdr:row>
      <xdr:rowOff>83820</xdr:rowOff>
    </xdr:from>
    <xdr:to>
      <xdr:col>28</xdr:col>
      <xdr:colOff>7620</xdr:colOff>
      <xdr:row>52</xdr:row>
      <xdr:rowOff>83820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381084F5-9188-4ABD-97B9-F9CE4142526E}"/>
            </a:ext>
          </a:extLst>
        </xdr:cNvPr>
        <xdr:cNvCxnSpPr/>
      </xdr:nvCxnSpPr>
      <xdr:spPr>
        <a:xfrm>
          <a:off x="12611100" y="97917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52</xdr:row>
      <xdr:rowOff>91440</xdr:rowOff>
    </xdr:from>
    <xdr:to>
      <xdr:col>28</xdr:col>
      <xdr:colOff>7620</xdr:colOff>
      <xdr:row>53</xdr:row>
      <xdr:rowOff>121920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7C41647C-0B4D-4EC2-B163-E73992840188}"/>
            </a:ext>
          </a:extLst>
        </xdr:cNvPr>
        <xdr:cNvCxnSpPr/>
      </xdr:nvCxnSpPr>
      <xdr:spPr>
        <a:xfrm>
          <a:off x="12618720" y="9799320"/>
          <a:ext cx="51054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48</xdr:row>
      <xdr:rowOff>64770</xdr:rowOff>
    </xdr:from>
    <xdr:to>
      <xdr:col>29</xdr:col>
      <xdr:colOff>544830</xdr:colOff>
      <xdr:row>49</xdr:row>
      <xdr:rowOff>66675</xdr:rowOff>
    </xdr:to>
    <xdr:cxnSp macro="">
      <xdr:nvCxnSpPr>
        <xdr:cNvPr id="245" name="Straight Arrow Connector 244">
          <a:extLst>
            <a:ext uri="{FF2B5EF4-FFF2-40B4-BE49-F238E27FC236}">
              <a16:creationId xmlns:a16="http://schemas.microsoft.com/office/drawing/2014/main" id="{8208A4AB-949C-44D7-9D20-7F63C3108B34}"/>
            </a:ext>
          </a:extLst>
        </xdr:cNvPr>
        <xdr:cNvCxnSpPr/>
      </xdr:nvCxnSpPr>
      <xdr:spPr>
        <a:xfrm flipV="1">
          <a:off x="15352395" y="6663690"/>
          <a:ext cx="47053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49</xdr:row>
      <xdr:rowOff>83820</xdr:rowOff>
    </xdr:from>
    <xdr:to>
      <xdr:col>30</xdr:col>
      <xdr:colOff>7620</xdr:colOff>
      <xdr:row>49</xdr:row>
      <xdr:rowOff>83820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CA0A3301-281D-4392-81AA-B02D27CA464B}"/>
            </a:ext>
          </a:extLst>
        </xdr:cNvPr>
        <xdr:cNvCxnSpPr/>
      </xdr:nvCxnSpPr>
      <xdr:spPr>
        <a:xfrm>
          <a:off x="15354300" y="686562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49</xdr:row>
      <xdr:rowOff>91440</xdr:rowOff>
    </xdr:from>
    <xdr:to>
      <xdr:col>30</xdr:col>
      <xdr:colOff>7620</xdr:colOff>
      <xdr:row>50</xdr:row>
      <xdr:rowOff>121920</xdr:rowOff>
    </xdr:to>
    <xdr:cxnSp macro="">
      <xdr:nvCxnSpPr>
        <xdr:cNvPr id="247" name="Straight Arrow Connector 246">
          <a:extLst>
            <a:ext uri="{FF2B5EF4-FFF2-40B4-BE49-F238E27FC236}">
              <a16:creationId xmlns:a16="http://schemas.microsoft.com/office/drawing/2014/main" id="{36666AD1-2E5A-4BCC-8B8B-CA7B0B9CE55A}"/>
            </a:ext>
          </a:extLst>
        </xdr:cNvPr>
        <xdr:cNvCxnSpPr/>
      </xdr:nvCxnSpPr>
      <xdr:spPr>
        <a:xfrm>
          <a:off x="15354300" y="6873240"/>
          <a:ext cx="4800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54</xdr:row>
      <xdr:rowOff>64770</xdr:rowOff>
    </xdr:from>
    <xdr:to>
      <xdr:col>27</xdr:col>
      <xdr:colOff>491490</xdr:colOff>
      <xdr:row>55</xdr:row>
      <xdr:rowOff>66675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2934939F-A455-4FD0-92AA-2574C2833BA9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55</xdr:row>
      <xdr:rowOff>83820</xdr:rowOff>
    </xdr:from>
    <xdr:to>
      <xdr:col>28</xdr:col>
      <xdr:colOff>7620</xdr:colOff>
      <xdr:row>55</xdr:row>
      <xdr:rowOff>83820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E8A9174F-921C-4CCF-B99D-70DC599F3E02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55</xdr:row>
      <xdr:rowOff>91440</xdr:rowOff>
    </xdr:from>
    <xdr:to>
      <xdr:col>28</xdr:col>
      <xdr:colOff>7620</xdr:colOff>
      <xdr:row>56</xdr:row>
      <xdr:rowOff>121920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A4BA51C6-5276-402D-BC0A-D9F173C95BA7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57</xdr:row>
      <xdr:rowOff>64770</xdr:rowOff>
    </xdr:from>
    <xdr:to>
      <xdr:col>27</xdr:col>
      <xdr:colOff>491490</xdr:colOff>
      <xdr:row>58</xdr:row>
      <xdr:rowOff>66675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55547B17-D86F-4F68-8E51-3C2DF5FF8DCA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58</xdr:row>
      <xdr:rowOff>83820</xdr:rowOff>
    </xdr:from>
    <xdr:to>
      <xdr:col>28</xdr:col>
      <xdr:colOff>7620</xdr:colOff>
      <xdr:row>58</xdr:row>
      <xdr:rowOff>83820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77D98A4D-BB0A-4066-91AC-663811479DEA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58</xdr:row>
      <xdr:rowOff>91440</xdr:rowOff>
    </xdr:from>
    <xdr:to>
      <xdr:col>28</xdr:col>
      <xdr:colOff>7620</xdr:colOff>
      <xdr:row>59</xdr:row>
      <xdr:rowOff>121920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58A1E76A-C8FC-472C-8982-9B96C67D2FA4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61</xdr:row>
      <xdr:rowOff>64770</xdr:rowOff>
    </xdr:from>
    <xdr:to>
      <xdr:col>27</xdr:col>
      <xdr:colOff>491490</xdr:colOff>
      <xdr:row>65</xdr:row>
      <xdr:rowOff>66675</xdr:rowOff>
    </xdr:to>
    <xdr:cxnSp macro="">
      <xdr:nvCxnSpPr>
        <xdr:cNvPr id="254" name="Straight Arrow Connector 253">
          <a:extLst>
            <a:ext uri="{FF2B5EF4-FFF2-40B4-BE49-F238E27FC236}">
              <a16:creationId xmlns:a16="http://schemas.microsoft.com/office/drawing/2014/main" id="{300DE38F-66FA-44B8-BB20-54C3CAFB27A7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65</xdr:row>
      <xdr:rowOff>83820</xdr:rowOff>
    </xdr:from>
    <xdr:to>
      <xdr:col>28</xdr:col>
      <xdr:colOff>7620</xdr:colOff>
      <xdr:row>65</xdr:row>
      <xdr:rowOff>83820</xdr:rowOff>
    </xdr:to>
    <xdr:cxnSp macro="">
      <xdr:nvCxnSpPr>
        <xdr:cNvPr id="255" name="Straight Arrow Connector 254">
          <a:extLst>
            <a:ext uri="{FF2B5EF4-FFF2-40B4-BE49-F238E27FC236}">
              <a16:creationId xmlns:a16="http://schemas.microsoft.com/office/drawing/2014/main" id="{860A041F-7DA8-4155-91C3-9D4E4BC08B93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65</xdr:row>
      <xdr:rowOff>91440</xdr:rowOff>
    </xdr:from>
    <xdr:to>
      <xdr:col>28</xdr:col>
      <xdr:colOff>7620</xdr:colOff>
      <xdr:row>73</xdr:row>
      <xdr:rowOff>121920</xdr:rowOff>
    </xdr:to>
    <xdr:cxnSp macro="">
      <xdr:nvCxnSpPr>
        <xdr:cNvPr id="256" name="Straight Arrow Connector 255">
          <a:extLst>
            <a:ext uri="{FF2B5EF4-FFF2-40B4-BE49-F238E27FC236}">
              <a16:creationId xmlns:a16="http://schemas.microsoft.com/office/drawing/2014/main" id="{5A5CA41F-FE33-42E7-BBE5-B3B2CC4E4B09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60</xdr:row>
      <xdr:rowOff>64770</xdr:rowOff>
    </xdr:from>
    <xdr:to>
      <xdr:col>29</xdr:col>
      <xdr:colOff>491490</xdr:colOff>
      <xdr:row>61</xdr:row>
      <xdr:rowOff>66675</xdr:rowOff>
    </xdr:to>
    <xdr:cxnSp macro="">
      <xdr:nvCxnSpPr>
        <xdr:cNvPr id="257" name="Straight Arrow Connector 256">
          <a:extLst>
            <a:ext uri="{FF2B5EF4-FFF2-40B4-BE49-F238E27FC236}">
              <a16:creationId xmlns:a16="http://schemas.microsoft.com/office/drawing/2014/main" id="{5BE5B6E6-B540-4B0B-B36F-AB1B2728DBA9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61</xdr:row>
      <xdr:rowOff>83820</xdr:rowOff>
    </xdr:from>
    <xdr:to>
      <xdr:col>30</xdr:col>
      <xdr:colOff>7620</xdr:colOff>
      <xdr:row>61</xdr:row>
      <xdr:rowOff>83820</xdr:rowOff>
    </xdr:to>
    <xdr:cxnSp macro="">
      <xdr:nvCxnSpPr>
        <xdr:cNvPr id="258" name="Straight Arrow Connector 257">
          <a:extLst>
            <a:ext uri="{FF2B5EF4-FFF2-40B4-BE49-F238E27FC236}">
              <a16:creationId xmlns:a16="http://schemas.microsoft.com/office/drawing/2014/main" id="{5149A3FB-53EC-4C90-B6DB-520BA93D13B1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61</xdr:row>
      <xdr:rowOff>91440</xdr:rowOff>
    </xdr:from>
    <xdr:to>
      <xdr:col>30</xdr:col>
      <xdr:colOff>7620</xdr:colOff>
      <xdr:row>62</xdr:row>
      <xdr:rowOff>121920</xdr:rowOff>
    </xdr:to>
    <xdr:cxnSp macro="">
      <xdr:nvCxnSpPr>
        <xdr:cNvPr id="259" name="Straight Arrow Connector 258">
          <a:extLst>
            <a:ext uri="{FF2B5EF4-FFF2-40B4-BE49-F238E27FC236}">
              <a16:creationId xmlns:a16="http://schemas.microsoft.com/office/drawing/2014/main" id="{D2D01CC3-E136-435B-ACC5-A23710592C37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63</xdr:row>
      <xdr:rowOff>64770</xdr:rowOff>
    </xdr:from>
    <xdr:to>
      <xdr:col>29</xdr:col>
      <xdr:colOff>491490</xdr:colOff>
      <xdr:row>65</xdr:row>
      <xdr:rowOff>66675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69F661C0-0322-4169-9242-87B7094DE2E3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65</xdr:row>
      <xdr:rowOff>83820</xdr:rowOff>
    </xdr:from>
    <xdr:to>
      <xdr:col>30</xdr:col>
      <xdr:colOff>7620</xdr:colOff>
      <xdr:row>65</xdr:row>
      <xdr:rowOff>83820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13469E33-9B91-4AC2-AFAB-B4D00D826352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65</xdr:row>
      <xdr:rowOff>91440</xdr:rowOff>
    </xdr:from>
    <xdr:to>
      <xdr:col>30</xdr:col>
      <xdr:colOff>7620</xdr:colOff>
      <xdr:row>69</xdr:row>
      <xdr:rowOff>121920</xdr:rowOff>
    </xdr:to>
    <xdr:cxnSp macro="">
      <xdr:nvCxnSpPr>
        <xdr:cNvPr id="262" name="Straight Arrow Connector 261">
          <a:extLst>
            <a:ext uri="{FF2B5EF4-FFF2-40B4-BE49-F238E27FC236}">
              <a16:creationId xmlns:a16="http://schemas.microsoft.com/office/drawing/2014/main" id="{E9529ACD-BB5F-4D59-A8C0-C5FFDC3BE8C0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72</xdr:row>
      <xdr:rowOff>64770</xdr:rowOff>
    </xdr:from>
    <xdr:to>
      <xdr:col>29</xdr:col>
      <xdr:colOff>491490</xdr:colOff>
      <xdr:row>73</xdr:row>
      <xdr:rowOff>66675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94985254-53D5-4E91-AF4F-569A7B7C859E}"/>
            </a:ext>
          </a:extLst>
        </xdr:cNvPr>
        <xdr:cNvCxnSpPr/>
      </xdr:nvCxnSpPr>
      <xdr:spPr>
        <a:xfrm flipV="1">
          <a:off x="13554075" y="9406890"/>
          <a:ext cx="493395" cy="184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73</xdr:row>
      <xdr:rowOff>83820</xdr:rowOff>
    </xdr:from>
    <xdr:to>
      <xdr:col>30</xdr:col>
      <xdr:colOff>7620</xdr:colOff>
      <xdr:row>73</xdr:row>
      <xdr:rowOff>83820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1199911B-88F4-4D6C-AB44-E163E2F1C5AE}"/>
            </a:ext>
          </a:extLst>
        </xdr:cNvPr>
        <xdr:cNvCxnSpPr/>
      </xdr:nvCxnSpPr>
      <xdr:spPr>
        <a:xfrm>
          <a:off x="13540740" y="960882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73</xdr:row>
      <xdr:rowOff>91440</xdr:rowOff>
    </xdr:from>
    <xdr:to>
      <xdr:col>30</xdr:col>
      <xdr:colOff>7620</xdr:colOff>
      <xdr:row>77</xdr:row>
      <xdr:rowOff>121920</xdr:rowOff>
    </xdr:to>
    <xdr:cxnSp macro="">
      <xdr:nvCxnSpPr>
        <xdr:cNvPr id="265" name="Straight Arrow Connector 264">
          <a:extLst>
            <a:ext uri="{FF2B5EF4-FFF2-40B4-BE49-F238E27FC236}">
              <a16:creationId xmlns:a16="http://schemas.microsoft.com/office/drawing/2014/main" id="{FD9DCFF6-E051-4A59-A35D-203BF94D5F15}"/>
            </a:ext>
          </a:extLst>
        </xdr:cNvPr>
        <xdr:cNvCxnSpPr/>
      </xdr:nvCxnSpPr>
      <xdr:spPr>
        <a:xfrm>
          <a:off x="13548360" y="9616440"/>
          <a:ext cx="51054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74</xdr:row>
      <xdr:rowOff>64770</xdr:rowOff>
    </xdr:from>
    <xdr:to>
      <xdr:col>31</xdr:col>
      <xdr:colOff>491490</xdr:colOff>
      <xdr:row>77</xdr:row>
      <xdr:rowOff>66675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7C7E7849-A0EB-4064-8EFB-BB9D0F61A29F}"/>
            </a:ext>
          </a:extLst>
        </xdr:cNvPr>
        <xdr:cNvCxnSpPr/>
      </xdr:nvCxnSpPr>
      <xdr:spPr>
        <a:xfrm flipV="1">
          <a:off x="14476095" y="11037570"/>
          <a:ext cx="455295" cy="177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77</xdr:row>
      <xdr:rowOff>83820</xdr:rowOff>
    </xdr:from>
    <xdr:to>
      <xdr:col>32</xdr:col>
      <xdr:colOff>7620</xdr:colOff>
      <xdr:row>77</xdr:row>
      <xdr:rowOff>83820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0BBE8147-B121-4EF5-A2AE-C7F7B4F11C4B}"/>
            </a:ext>
          </a:extLst>
        </xdr:cNvPr>
        <xdr:cNvCxnSpPr/>
      </xdr:nvCxnSpPr>
      <xdr:spPr>
        <a:xfrm>
          <a:off x="14470380" y="1123188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77</xdr:row>
      <xdr:rowOff>91440</xdr:rowOff>
    </xdr:from>
    <xdr:to>
      <xdr:col>32</xdr:col>
      <xdr:colOff>7620</xdr:colOff>
      <xdr:row>82</xdr:row>
      <xdr:rowOff>121920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DDF0AB3E-9327-40E7-9767-0E606EF01A78}"/>
            </a:ext>
          </a:extLst>
        </xdr:cNvPr>
        <xdr:cNvCxnSpPr/>
      </xdr:nvCxnSpPr>
      <xdr:spPr>
        <a:xfrm>
          <a:off x="14478000" y="11239500"/>
          <a:ext cx="46482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64</xdr:row>
      <xdr:rowOff>64770</xdr:rowOff>
    </xdr:from>
    <xdr:to>
      <xdr:col>31</xdr:col>
      <xdr:colOff>491490</xdr:colOff>
      <xdr:row>65</xdr:row>
      <xdr:rowOff>66675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8677FBF6-A627-422A-BDE6-EE70C0A209E2}"/>
            </a:ext>
          </a:extLst>
        </xdr:cNvPr>
        <xdr:cNvCxnSpPr/>
      </xdr:nvCxnSpPr>
      <xdr:spPr>
        <a:xfrm flipV="1">
          <a:off x="13580745" y="9311640"/>
          <a:ext cx="49339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65</xdr:row>
      <xdr:rowOff>83820</xdr:rowOff>
    </xdr:from>
    <xdr:to>
      <xdr:col>32</xdr:col>
      <xdr:colOff>7620</xdr:colOff>
      <xdr:row>65</xdr:row>
      <xdr:rowOff>83820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BD611FDC-C5C5-43ED-96D3-A8431BDD410B}"/>
            </a:ext>
          </a:extLst>
        </xdr:cNvPr>
        <xdr:cNvCxnSpPr/>
      </xdr:nvCxnSpPr>
      <xdr:spPr>
        <a:xfrm>
          <a:off x="13563600" y="95154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65</xdr:row>
      <xdr:rowOff>91440</xdr:rowOff>
    </xdr:from>
    <xdr:to>
      <xdr:col>32</xdr:col>
      <xdr:colOff>7620</xdr:colOff>
      <xdr:row>66</xdr:row>
      <xdr:rowOff>121920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5B4E7368-EA23-43EB-AD3F-C0F1BA4DD9FF}"/>
            </a:ext>
          </a:extLst>
        </xdr:cNvPr>
        <xdr:cNvCxnSpPr/>
      </xdr:nvCxnSpPr>
      <xdr:spPr>
        <a:xfrm>
          <a:off x="13573125" y="9525000"/>
          <a:ext cx="514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67</xdr:row>
      <xdr:rowOff>64770</xdr:rowOff>
    </xdr:from>
    <xdr:to>
      <xdr:col>31</xdr:col>
      <xdr:colOff>491490</xdr:colOff>
      <xdr:row>69</xdr:row>
      <xdr:rowOff>66675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E66F8CF8-4A6F-4129-BEF2-2241CFC13603}"/>
            </a:ext>
          </a:extLst>
        </xdr:cNvPr>
        <xdr:cNvCxnSpPr/>
      </xdr:nvCxnSpPr>
      <xdr:spPr>
        <a:xfrm flipV="1">
          <a:off x="13580745" y="9311640"/>
          <a:ext cx="493395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69</xdr:row>
      <xdr:rowOff>83820</xdr:rowOff>
    </xdr:from>
    <xdr:to>
      <xdr:col>32</xdr:col>
      <xdr:colOff>7620</xdr:colOff>
      <xdr:row>69</xdr:row>
      <xdr:rowOff>83820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2DD3177-1A61-41B3-9A50-A3904DEE3AFE}"/>
            </a:ext>
          </a:extLst>
        </xdr:cNvPr>
        <xdr:cNvCxnSpPr/>
      </xdr:nvCxnSpPr>
      <xdr:spPr>
        <a:xfrm>
          <a:off x="13563600" y="95154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69</xdr:row>
      <xdr:rowOff>91440</xdr:rowOff>
    </xdr:from>
    <xdr:to>
      <xdr:col>32</xdr:col>
      <xdr:colOff>7620</xdr:colOff>
      <xdr:row>71</xdr:row>
      <xdr:rowOff>121920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C731CEED-1D29-452D-A7AD-E4697F0CF58E}"/>
            </a:ext>
          </a:extLst>
        </xdr:cNvPr>
        <xdr:cNvCxnSpPr/>
      </xdr:nvCxnSpPr>
      <xdr:spPr>
        <a:xfrm>
          <a:off x="13573125" y="9525000"/>
          <a:ext cx="51435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432435</xdr:colOff>
      <xdr:row>68</xdr:row>
      <xdr:rowOff>64770</xdr:rowOff>
    </xdr:from>
    <xdr:to>
      <xdr:col>33</xdr:col>
      <xdr:colOff>491490</xdr:colOff>
      <xdr:row>69</xdr:row>
      <xdr:rowOff>66675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FE29CC2D-453C-460D-B97D-5B1F052682CE}"/>
            </a:ext>
          </a:extLst>
        </xdr:cNvPr>
        <xdr:cNvCxnSpPr/>
      </xdr:nvCxnSpPr>
      <xdr:spPr>
        <a:xfrm flipV="1">
          <a:off x="15380970" y="11607165"/>
          <a:ext cx="47434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419100</xdr:colOff>
      <xdr:row>69</xdr:row>
      <xdr:rowOff>83820</xdr:rowOff>
    </xdr:from>
    <xdr:to>
      <xdr:col>34</xdr:col>
      <xdr:colOff>7620</xdr:colOff>
      <xdr:row>69</xdr:row>
      <xdr:rowOff>83820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5873B2B6-309C-47E2-A7FE-B433B9E9BFC8}"/>
            </a:ext>
          </a:extLst>
        </xdr:cNvPr>
        <xdr:cNvCxnSpPr/>
      </xdr:nvCxnSpPr>
      <xdr:spPr>
        <a:xfrm>
          <a:off x="15382875" y="11801475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426720</xdr:colOff>
      <xdr:row>69</xdr:row>
      <xdr:rowOff>91440</xdr:rowOff>
    </xdr:from>
    <xdr:to>
      <xdr:col>34</xdr:col>
      <xdr:colOff>7620</xdr:colOff>
      <xdr:row>70</xdr:row>
      <xdr:rowOff>121920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035513DB-42B9-4233-8410-1125233997A8}"/>
            </a:ext>
          </a:extLst>
        </xdr:cNvPr>
        <xdr:cNvCxnSpPr/>
      </xdr:nvCxnSpPr>
      <xdr:spPr>
        <a:xfrm>
          <a:off x="15382875" y="11811000"/>
          <a:ext cx="48577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432435</xdr:colOff>
      <xdr:row>75</xdr:row>
      <xdr:rowOff>64770</xdr:rowOff>
    </xdr:from>
    <xdr:to>
      <xdr:col>33</xdr:col>
      <xdr:colOff>491490</xdr:colOff>
      <xdr:row>77</xdr:row>
      <xdr:rowOff>66675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EAAD0BF8-3A06-4CDB-934D-4AB7C99E7F41}"/>
            </a:ext>
          </a:extLst>
        </xdr:cNvPr>
        <xdr:cNvCxnSpPr/>
      </xdr:nvCxnSpPr>
      <xdr:spPr>
        <a:xfrm flipV="1">
          <a:off x="16257270" y="12292965"/>
          <a:ext cx="36004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419100</xdr:colOff>
      <xdr:row>77</xdr:row>
      <xdr:rowOff>83820</xdr:rowOff>
    </xdr:from>
    <xdr:to>
      <xdr:col>34</xdr:col>
      <xdr:colOff>7620</xdr:colOff>
      <xdr:row>77</xdr:row>
      <xdr:rowOff>83820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9FF38880-5901-4201-BC75-B3CEE7C98003}"/>
            </a:ext>
          </a:extLst>
        </xdr:cNvPr>
        <xdr:cNvCxnSpPr/>
      </xdr:nvCxnSpPr>
      <xdr:spPr>
        <a:xfrm>
          <a:off x="16259175" y="12487275"/>
          <a:ext cx="371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426720</xdr:colOff>
      <xdr:row>77</xdr:row>
      <xdr:rowOff>91440</xdr:rowOff>
    </xdr:from>
    <xdr:to>
      <xdr:col>34</xdr:col>
      <xdr:colOff>7620</xdr:colOff>
      <xdr:row>80</xdr:row>
      <xdr:rowOff>121920</xdr:rowOff>
    </xdr:to>
    <xdr:cxnSp macro="">
      <xdr:nvCxnSpPr>
        <xdr:cNvPr id="280" name="Straight Arrow Connector 279">
          <a:extLst>
            <a:ext uri="{FF2B5EF4-FFF2-40B4-BE49-F238E27FC236}">
              <a16:creationId xmlns:a16="http://schemas.microsoft.com/office/drawing/2014/main" id="{BEE3B0CA-3354-47CE-B339-43B3FF820CE8}"/>
            </a:ext>
          </a:extLst>
        </xdr:cNvPr>
        <xdr:cNvCxnSpPr/>
      </xdr:nvCxnSpPr>
      <xdr:spPr>
        <a:xfrm>
          <a:off x="16259175" y="12496800"/>
          <a:ext cx="37147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436245</xdr:colOff>
      <xdr:row>76</xdr:row>
      <xdr:rowOff>62865</xdr:rowOff>
    </xdr:from>
    <xdr:to>
      <xdr:col>35</xdr:col>
      <xdr:colOff>491490</xdr:colOff>
      <xdr:row>77</xdr:row>
      <xdr:rowOff>64770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BF71DB32-3376-43B1-9268-B963BAD69876}"/>
            </a:ext>
          </a:extLst>
        </xdr:cNvPr>
        <xdr:cNvCxnSpPr/>
      </xdr:nvCxnSpPr>
      <xdr:spPr>
        <a:xfrm flipV="1">
          <a:off x="16904970" y="13664565"/>
          <a:ext cx="49339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419100</xdr:colOff>
      <xdr:row>77</xdr:row>
      <xdr:rowOff>83820</xdr:rowOff>
    </xdr:from>
    <xdr:to>
      <xdr:col>36</xdr:col>
      <xdr:colOff>7620</xdr:colOff>
      <xdr:row>77</xdr:row>
      <xdr:rowOff>83820</xdr:rowOff>
    </xdr:to>
    <xdr:cxnSp macro="">
      <xdr:nvCxnSpPr>
        <xdr:cNvPr id="282" name="Straight Arrow Connector 281">
          <a:extLst>
            <a:ext uri="{FF2B5EF4-FFF2-40B4-BE49-F238E27FC236}">
              <a16:creationId xmlns:a16="http://schemas.microsoft.com/office/drawing/2014/main" id="{3593F033-DD35-44E0-820A-E4838C9CBDA3}"/>
            </a:ext>
          </a:extLst>
        </xdr:cNvPr>
        <xdr:cNvCxnSpPr/>
      </xdr:nvCxnSpPr>
      <xdr:spPr>
        <a:xfrm>
          <a:off x="16259175" y="12487275"/>
          <a:ext cx="371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426720</xdr:colOff>
      <xdr:row>77</xdr:row>
      <xdr:rowOff>91440</xdr:rowOff>
    </xdr:from>
    <xdr:to>
      <xdr:col>36</xdr:col>
      <xdr:colOff>7620</xdr:colOff>
      <xdr:row>78</xdr:row>
      <xdr:rowOff>121920</xdr:rowOff>
    </xdr:to>
    <xdr:cxnSp macro="">
      <xdr:nvCxnSpPr>
        <xdr:cNvPr id="283" name="Straight Arrow Connector 282">
          <a:extLst>
            <a:ext uri="{FF2B5EF4-FFF2-40B4-BE49-F238E27FC236}">
              <a16:creationId xmlns:a16="http://schemas.microsoft.com/office/drawing/2014/main" id="{22B716AD-BE99-49A3-8FC5-1436B784A60D}"/>
            </a:ext>
          </a:extLst>
        </xdr:cNvPr>
        <xdr:cNvCxnSpPr/>
      </xdr:nvCxnSpPr>
      <xdr:spPr>
        <a:xfrm>
          <a:off x="16259175" y="12496800"/>
          <a:ext cx="37147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432435</xdr:colOff>
      <xdr:row>79</xdr:row>
      <xdr:rowOff>64770</xdr:rowOff>
    </xdr:from>
    <xdr:to>
      <xdr:col>35</xdr:col>
      <xdr:colOff>491490</xdr:colOff>
      <xdr:row>80</xdr:row>
      <xdr:rowOff>66675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4419C1D8-FFEF-45B2-9F1E-551A991482AC}"/>
            </a:ext>
          </a:extLst>
        </xdr:cNvPr>
        <xdr:cNvCxnSpPr/>
      </xdr:nvCxnSpPr>
      <xdr:spPr>
        <a:xfrm flipV="1">
          <a:off x="17057370" y="13664565"/>
          <a:ext cx="49339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419100</xdr:colOff>
      <xdr:row>80</xdr:row>
      <xdr:rowOff>83820</xdr:rowOff>
    </xdr:from>
    <xdr:to>
      <xdr:col>36</xdr:col>
      <xdr:colOff>7620</xdr:colOff>
      <xdr:row>80</xdr:row>
      <xdr:rowOff>83820</xdr:rowOff>
    </xdr:to>
    <xdr:cxnSp macro="">
      <xdr:nvCxnSpPr>
        <xdr:cNvPr id="285" name="Straight Arrow Connector 284">
          <a:extLst>
            <a:ext uri="{FF2B5EF4-FFF2-40B4-BE49-F238E27FC236}">
              <a16:creationId xmlns:a16="http://schemas.microsoft.com/office/drawing/2014/main" id="{9BCEA256-9927-45DE-9323-9FCA74ECC0DF}"/>
            </a:ext>
          </a:extLst>
        </xdr:cNvPr>
        <xdr:cNvCxnSpPr/>
      </xdr:nvCxnSpPr>
      <xdr:spPr>
        <a:xfrm>
          <a:off x="17040225" y="138588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426720</xdr:colOff>
      <xdr:row>80</xdr:row>
      <xdr:rowOff>91440</xdr:rowOff>
    </xdr:from>
    <xdr:to>
      <xdr:col>36</xdr:col>
      <xdr:colOff>7620</xdr:colOff>
      <xdr:row>81</xdr:row>
      <xdr:rowOff>121920</xdr:rowOff>
    </xdr:to>
    <xdr:cxnSp macro="">
      <xdr:nvCxnSpPr>
        <xdr:cNvPr id="286" name="Straight Arrow Connector 285">
          <a:extLst>
            <a:ext uri="{FF2B5EF4-FFF2-40B4-BE49-F238E27FC236}">
              <a16:creationId xmlns:a16="http://schemas.microsoft.com/office/drawing/2014/main" id="{20ED89BA-B021-4534-BD6E-9E199C6081D5}"/>
            </a:ext>
          </a:extLst>
        </xdr:cNvPr>
        <xdr:cNvCxnSpPr/>
      </xdr:nvCxnSpPr>
      <xdr:spPr>
        <a:xfrm>
          <a:off x="17049750" y="13868400"/>
          <a:ext cx="5143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83</xdr:row>
      <xdr:rowOff>62865</xdr:rowOff>
    </xdr:from>
    <xdr:to>
      <xdr:col>27</xdr:col>
      <xdr:colOff>491490</xdr:colOff>
      <xdr:row>84</xdr:row>
      <xdr:rowOff>64770</xdr:rowOff>
    </xdr:to>
    <xdr:cxnSp macro="">
      <xdr:nvCxnSpPr>
        <xdr:cNvPr id="287" name="Straight Arrow Connector 286">
          <a:extLst>
            <a:ext uri="{FF2B5EF4-FFF2-40B4-BE49-F238E27FC236}">
              <a16:creationId xmlns:a16="http://schemas.microsoft.com/office/drawing/2014/main" id="{CA642358-EE8C-4812-8561-2E64A12DE0AE}"/>
            </a:ext>
          </a:extLst>
        </xdr:cNvPr>
        <xdr:cNvCxnSpPr/>
      </xdr:nvCxnSpPr>
      <xdr:spPr>
        <a:xfrm flipV="1">
          <a:off x="16908780" y="13660755"/>
          <a:ext cx="489585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84</xdr:row>
      <xdr:rowOff>83820</xdr:rowOff>
    </xdr:from>
    <xdr:to>
      <xdr:col>28</xdr:col>
      <xdr:colOff>7620</xdr:colOff>
      <xdr:row>84</xdr:row>
      <xdr:rowOff>83820</xdr:rowOff>
    </xdr:to>
    <xdr:cxnSp macro="">
      <xdr:nvCxnSpPr>
        <xdr:cNvPr id="288" name="Straight Arrow Connector 287">
          <a:extLst>
            <a:ext uri="{FF2B5EF4-FFF2-40B4-BE49-F238E27FC236}">
              <a16:creationId xmlns:a16="http://schemas.microsoft.com/office/drawing/2014/main" id="{53E1F570-5641-412D-AA7C-8E2A2D3E26A1}"/>
            </a:ext>
          </a:extLst>
        </xdr:cNvPr>
        <xdr:cNvCxnSpPr/>
      </xdr:nvCxnSpPr>
      <xdr:spPr>
        <a:xfrm>
          <a:off x="16887825" y="138588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84</xdr:row>
      <xdr:rowOff>91440</xdr:rowOff>
    </xdr:from>
    <xdr:to>
      <xdr:col>28</xdr:col>
      <xdr:colOff>7620</xdr:colOff>
      <xdr:row>85</xdr:row>
      <xdr:rowOff>121920</xdr:rowOff>
    </xdr:to>
    <xdr:cxnSp macro="">
      <xdr:nvCxnSpPr>
        <xdr:cNvPr id="289" name="Straight Arrow Connector 288">
          <a:extLst>
            <a:ext uri="{FF2B5EF4-FFF2-40B4-BE49-F238E27FC236}">
              <a16:creationId xmlns:a16="http://schemas.microsoft.com/office/drawing/2014/main" id="{09C9E51D-2B7B-4831-852B-48EFE2ED7634}"/>
            </a:ext>
          </a:extLst>
        </xdr:cNvPr>
        <xdr:cNvCxnSpPr/>
      </xdr:nvCxnSpPr>
      <xdr:spPr>
        <a:xfrm>
          <a:off x="16897350" y="13868400"/>
          <a:ext cx="5143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86</xdr:row>
      <xdr:rowOff>62865</xdr:rowOff>
    </xdr:from>
    <xdr:to>
      <xdr:col>27</xdr:col>
      <xdr:colOff>491490</xdr:colOff>
      <xdr:row>87</xdr:row>
      <xdr:rowOff>64770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2F07A8BE-CCCB-4854-A04F-A3D9B7B1B387}"/>
            </a:ext>
          </a:extLst>
        </xdr:cNvPr>
        <xdr:cNvCxnSpPr/>
      </xdr:nvCxnSpPr>
      <xdr:spPr>
        <a:xfrm flipV="1">
          <a:off x="16908780" y="13660755"/>
          <a:ext cx="489585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87</xdr:row>
      <xdr:rowOff>83820</xdr:rowOff>
    </xdr:from>
    <xdr:to>
      <xdr:col>28</xdr:col>
      <xdr:colOff>7620</xdr:colOff>
      <xdr:row>87</xdr:row>
      <xdr:rowOff>83820</xdr:rowOff>
    </xdr:to>
    <xdr:cxnSp macro="">
      <xdr:nvCxnSpPr>
        <xdr:cNvPr id="291" name="Straight Arrow Connector 290">
          <a:extLst>
            <a:ext uri="{FF2B5EF4-FFF2-40B4-BE49-F238E27FC236}">
              <a16:creationId xmlns:a16="http://schemas.microsoft.com/office/drawing/2014/main" id="{B182D350-BBA6-411F-84E8-8D4A1AB4E921}"/>
            </a:ext>
          </a:extLst>
        </xdr:cNvPr>
        <xdr:cNvCxnSpPr/>
      </xdr:nvCxnSpPr>
      <xdr:spPr>
        <a:xfrm>
          <a:off x="16887825" y="138588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87</xdr:row>
      <xdr:rowOff>91440</xdr:rowOff>
    </xdr:from>
    <xdr:to>
      <xdr:col>28</xdr:col>
      <xdr:colOff>7620</xdr:colOff>
      <xdr:row>88</xdr:row>
      <xdr:rowOff>121920</xdr:rowOff>
    </xdr:to>
    <xdr:cxnSp macro="">
      <xdr:nvCxnSpPr>
        <xdr:cNvPr id="292" name="Straight Arrow Connector 291">
          <a:extLst>
            <a:ext uri="{FF2B5EF4-FFF2-40B4-BE49-F238E27FC236}">
              <a16:creationId xmlns:a16="http://schemas.microsoft.com/office/drawing/2014/main" id="{4256A3C0-118B-4B35-947E-44F83E24D7EF}"/>
            </a:ext>
          </a:extLst>
        </xdr:cNvPr>
        <xdr:cNvCxnSpPr/>
      </xdr:nvCxnSpPr>
      <xdr:spPr>
        <a:xfrm>
          <a:off x="16897350" y="13868400"/>
          <a:ext cx="5143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89</xdr:row>
      <xdr:rowOff>62865</xdr:rowOff>
    </xdr:from>
    <xdr:to>
      <xdr:col>27</xdr:col>
      <xdr:colOff>491490</xdr:colOff>
      <xdr:row>90</xdr:row>
      <xdr:rowOff>64770</xdr:rowOff>
    </xdr:to>
    <xdr:cxnSp macro="">
      <xdr:nvCxnSpPr>
        <xdr:cNvPr id="293" name="Straight Arrow Connector 292">
          <a:extLst>
            <a:ext uri="{FF2B5EF4-FFF2-40B4-BE49-F238E27FC236}">
              <a16:creationId xmlns:a16="http://schemas.microsoft.com/office/drawing/2014/main" id="{9FECC4A2-02B2-4BDD-AB19-51FEE46ACBD6}"/>
            </a:ext>
          </a:extLst>
        </xdr:cNvPr>
        <xdr:cNvCxnSpPr/>
      </xdr:nvCxnSpPr>
      <xdr:spPr>
        <a:xfrm flipV="1">
          <a:off x="16908780" y="13660755"/>
          <a:ext cx="489585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90</xdr:row>
      <xdr:rowOff>83820</xdr:rowOff>
    </xdr:from>
    <xdr:to>
      <xdr:col>28</xdr:col>
      <xdr:colOff>7620</xdr:colOff>
      <xdr:row>90</xdr:row>
      <xdr:rowOff>83820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id="{BCD25CB3-CC79-4B6D-9800-97AFE614F50D}"/>
            </a:ext>
          </a:extLst>
        </xdr:cNvPr>
        <xdr:cNvCxnSpPr/>
      </xdr:nvCxnSpPr>
      <xdr:spPr>
        <a:xfrm>
          <a:off x="16887825" y="138588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90</xdr:row>
      <xdr:rowOff>91440</xdr:rowOff>
    </xdr:from>
    <xdr:to>
      <xdr:col>28</xdr:col>
      <xdr:colOff>7620</xdr:colOff>
      <xdr:row>91</xdr:row>
      <xdr:rowOff>121920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A363FCA6-477B-463E-8BC4-72FFAA2D741D}"/>
            </a:ext>
          </a:extLst>
        </xdr:cNvPr>
        <xdr:cNvCxnSpPr/>
      </xdr:nvCxnSpPr>
      <xdr:spPr>
        <a:xfrm>
          <a:off x="16897350" y="13868400"/>
          <a:ext cx="5143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145</xdr:row>
      <xdr:rowOff>106680</xdr:rowOff>
    </xdr:from>
    <xdr:to>
      <xdr:col>2</xdr:col>
      <xdr:colOff>7620</xdr:colOff>
      <xdr:row>154</xdr:row>
      <xdr:rowOff>85725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0EC0991-AAD1-4732-9E0B-E88F3CDDDA28}"/>
            </a:ext>
          </a:extLst>
        </xdr:cNvPr>
        <xdr:cNvCxnSpPr/>
      </xdr:nvCxnSpPr>
      <xdr:spPr>
        <a:xfrm flipV="1">
          <a:off x="276225" y="27052905"/>
          <a:ext cx="874395" cy="169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278130</xdr:colOff>
      <xdr:row>154</xdr:row>
      <xdr:rowOff>91440</xdr:rowOff>
    </xdr:from>
    <xdr:to>
      <xdr:col>1</xdr:col>
      <xdr:colOff>590550</xdr:colOff>
      <xdr:row>157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BEF99BF-983D-46B1-829D-A0BCF732471D}"/>
            </a:ext>
          </a:extLst>
        </xdr:cNvPr>
        <xdr:cNvCxnSpPr/>
      </xdr:nvCxnSpPr>
      <xdr:spPr>
        <a:xfrm>
          <a:off x="278130" y="28752165"/>
          <a:ext cx="864870" cy="556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154</xdr:row>
      <xdr:rowOff>95250</xdr:rowOff>
    </xdr:from>
    <xdr:to>
      <xdr:col>1</xdr:col>
      <xdr:colOff>561975</xdr:colOff>
      <xdr:row>166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2A7994E-816F-4661-B6D6-1F1F50A690E3}"/>
            </a:ext>
          </a:extLst>
        </xdr:cNvPr>
        <xdr:cNvCxnSpPr/>
      </xdr:nvCxnSpPr>
      <xdr:spPr>
        <a:xfrm>
          <a:off x="285750" y="28755975"/>
          <a:ext cx="857250" cy="2286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133</xdr:row>
      <xdr:rowOff>76200</xdr:rowOff>
    </xdr:from>
    <xdr:to>
      <xdr:col>4</xdr:col>
      <xdr:colOff>22860</xdr:colOff>
      <xdr:row>145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8C7DD78-5154-4C18-8F20-C8ADA244B832}"/>
            </a:ext>
          </a:extLst>
        </xdr:cNvPr>
        <xdr:cNvCxnSpPr/>
      </xdr:nvCxnSpPr>
      <xdr:spPr>
        <a:xfrm flipV="1">
          <a:off x="1524000" y="24736425"/>
          <a:ext cx="1042035" cy="23088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396240</xdr:colOff>
      <xdr:row>145</xdr:row>
      <xdr:rowOff>91440</xdr:rowOff>
    </xdr:from>
    <xdr:to>
      <xdr:col>4</xdr:col>
      <xdr:colOff>0</xdr:colOff>
      <xdr:row>145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BA9870F-06BE-424A-A49C-354310515CFA}"/>
            </a:ext>
          </a:extLst>
        </xdr:cNvPr>
        <xdr:cNvCxnSpPr/>
      </xdr:nvCxnSpPr>
      <xdr:spPr>
        <a:xfrm>
          <a:off x="1539240" y="27037665"/>
          <a:ext cx="100393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388620</xdr:colOff>
      <xdr:row>145</xdr:row>
      <xdr:rowOff>99060</xdr:rowOff>
    </xdr:from>
    <xdr:to>
      <xdr:col>3</xdr:col>
      <xdr:colOff>561975</xdr:colOff>
      <xdr:row>151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6B763DF-2138-40A3-AF89-C4D389AE209F}"/>
            </a:ext>
          </a:extLst>
        </xdr:cNvPr>
        <xdr:cNvCxnSpPr/>
      </xdr:nvCxnSpPr>
      <xdr:spPr>
        <a:xfrm>
          <a:off x="1531620" y="27045285"/>
          <a:ext cx="859155" cy="11296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157</xdr:row>
      <xdr:rowOff>99060</xdr:rowOff>
    </xdr:from>
    <xdr:to>
      <xdr:col>3</xdr:col>
      <xdr:colOff>573405</xdr:colOff>
      <xdr:row>160</xdr:row>
      <xdr:rowOff>104775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C36F075-3013-494A-8351-34D7786F0DFB}"/>
            </a:ext>
          </a:extLst>
        </xdr:cNvPr>
        <xdr:cNvCxnSpPr/>
      </xdr:nvCxnSpPr>
      <xdr:spPr>
        <a:xfrm>
          <a:off x="1577340" y="29331285"/>
          <a:ext cx="824865" cy="5772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166</xdr:row>
      <xdr:rowOff>121920</xdr:rowOff>
    </xdr:from>
    <xdr:to>
      <xdr:col>3</xdr:col>
      <xdr:colOff>548640</xdr:colOff>
      <xdr:row>169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78F8963-C945-4D94-96A3-614937916A4D}"/>
            </a:ext>
          </a:extLst>
        </xdr:cNvPr>
        <xdr:cNvCxnSpPr/>
      </xdr:nvCxnSpPr>
      <xdr:spPr>
        <a:xfrm>
          <a:off x="1600200" y="31068645"/>
          <a:ext cx="77724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154</xdr:row>
      <xdr:rowOff>76200</xdr:rowOff>
    </xdr:from>
    <xdr:to>
      <xdr:col>3</xdr:col>
      <xdr:colOff>571500</xdr:colOff>
      <xdr:row>157</xdr:row>
      <xdr:rowOff>91440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A1F3EF0-8449-4985-93D0-AB8A899D5FDD}"/>
            </a:ext>
          </a:extLst>
        </xdr:cNvPr>
        <xdr:cNvCxnSpPr/>
      </xdr:nvCxnSpPr>
      <xdr:spPr>
        <a:xfrm flipV="1">
          <a:off x="1562100" y="28736925"/>
          <a:ext cx="83820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</xdr:colOff>
      <xdr:row>157</xdr:row>
      <xdr:rowOff>102870</xdr:rowOff>
    </xdr:from>
    <xdr:to>
      <xdr:col>3</xdr:col>
      <xdr:colOff>592455</xdr:colOff>
      <xdr:row>157</xdr:row>
      <xdr:rowOff>106680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84A9A65-05B4-44FB-9C39-73DB111886E3}"/>
            </a:ext>
          </a:extLst>
        </xdr:cNvPr>
        <xdr:cNvCxnSpPr/>
      </xdr:nvCxnSpPr>
      <xdr:spPr>
        <a:xfrm flipV="1">
          <a:off x="1584960" y="29335095"/>
          <a:ext cx="836295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480060</xdr:colOff>
      <xdr:row>163</xdr:row>
      <xdr:rowOff>83820</xdr:rowOff>
    </xdr:from>
    <xdr:to>
      <xdr:col>4</xdr:col>
      <xdr:colOff>9525</xdr:colOff>
      <xdr:row>166</xdr:row>
      <xdr:rowOff>129540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669148A-535C-485C-99E2-B96471EC5CD7}"/>
            </a:ext>
          </a:extLst>
        </xdr:cNvPr>
        <xdr:cNvCxnSpPr/>
      </xdr:nvCxnSpPr>
      <xdr:spPr>
        <a:xfrm flipV="1">
          <a:off x="1623060" y="30459045"/>
          <a:ext cx="92964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166</xdr:row>
      <xdr:rowOff>114300</xdr:rowOff>
    </xdr:from>
    <xdr:to>
      <xdr:col>3</xdr:col>
      <xdr:colOff>590550</xdr:colOff>
      <xdr:row>166</xdr:row>
      <xdr:rowOff>121920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B7580D5-3E6D-4A02-BA2A-A42D99548BD3}"/>
            </a:ext>
          </a:extLst>
        </xdr:cNvPr>
        <xdr:cNvCxnSpPr/>
      </xdr:nvCxnSpPr>
      <xdr:spPr>
        <a:xfrm flipV="1">
          <a:off x="1600200" y="31061025"/>
          <a:ext cx="81915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14</xdr:row>
      <xdr:rowOff>76200</xdr:rowOff>
    </xdr:from>
    <xdr:to>
      <xdr:col>5</xdr:col>
      <xdr:colOff>419100</xdr:colOff>
      <xdr:row>133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6229AC8-616C-49BE-87C3-B2847B398AE0}"/>
            </a:ext>
          </a:extLst>
        </xdr:cNvPr>
        <xdr:cNvCxnSpPr/>
      </xdr:nvCxnSpPr>
      <xdr:spPr>
        <a:xfrm flipV="1">
          <a:off x="2954655" y="2752725"/>
          <a:ext cx="426720" cy="21983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133</xdr:row>
      <xdr:rowOff>83820</xdr:rowOff>
    </xdr:from>
    <xdr:to>
      <xdr:col>6</xdr:col>
      <xdr:colOff>7620</xdr:colOff>
      <xdr:row>133</xdr:row>
      <xdr:rowOff>83820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D882A67-5D0C-4E4B-888B-747B02F53873}"/>
            </a:ext>
          </a:extLst>
        </xdr:cNvPr>
        <xdr:cNvCxnSpPr/>
      </xdr:nvCxnSpPr>
      <xdr:spPr>
        <a:xfrm>
          <a:off x="2962275" y="24744045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133</xdr:row>
      <xdr:rowOff>91440</xdr:rowOff>
    </xdr:from>
    <xdr:to>
      <xdr:col>5</xdr:col>
      <xdr:colOff>419100</xdr:colOff>
      <xdr:row>139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6D38356-EBBC-4841-AB58-3AA858D25E10}"/>
            </a:ext>
          </a:extLst>
        </xdr:cNvPr>
        <xdr:cNvCxnSpPr/>
      </xdr:nvCxnSpPr>
      <xdr:spPr>
        <a:xfrm>
          <a:off x="2962275" y="24751665"/>
          <a:ext cx="419100" cy="11658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142</xdr:row>
      <xdr:rowOff>45720</xdr:rowOff>
    </xdr:from>
    <xdr:to>
      <xdr:col>5</xdr:col>
      <xdr:colOff>426720</xdr:colOff>
      <xdr:row>145</xdr:row>
      <xdr:rowOff>83820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0E90556-DE90-4F7D-9F9E-C7919B36AE04}"/>
            </a:ext>
          </a:extLst>
        </xdr:cNvPr>
        <xdr:cNvCxnSpPr/>
      </xdr:nvCxnSpPr>
      <xdr:spPr>
        <a:xfrm flipV="1">
          <a:off x="3023235" y="26420445"/>
          <a:ext cx="356235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145</xdr:row>
      <xdr:rowOff>81915</xdr:rowOff>
    </xdr:from>
    <xdr:to>
      <xdr:col>5</xdr:col>
      <xdr:colOff>430530</xdr:colOff>
      <xdr:row>145</xdr:row>
      <xdr:rowOff>91440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3784C52-9D00-4026-9386-8099D5273CEF}"/>
            </a:ext>
          </a:extLst>
        </xdr:cNvPr>
        <xdr:cNvCxnSpPr/>
      </xdr:nvCxnSpPr>
      <xdr:spPr>
        <a:xfrm flipV="1">
          <a:off x="2985135" y="27028140"/>
          <a:ext cx="39814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145</xdr:row>
      <xdr:rowOff>104775</xdr:rowOff>
    </xdr:from>
    <xdr:to>
      <xdr:col>5</xdr:col>
      <xdr:colOff>428625</xdr:colOff>
      <xdr:row>148</xdr:row>
      <xdr:rowOff>161925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1A9C7ED-269A-4B2A-A8C3-85E1C2D92A96}"/>
            </a:ext>
          </a:extLst>
        </xdr:cNvPr>
        <xdr:cNvCxnSpPr/>
      </xdr:nvCxnSpPr>
      <xdr:spPr>
        <a:xfrm>
          <a:off x="3019425" y="27051000"/>
          <a:ext cx="361950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153</xdr:row>
      <xdr:rowOff>72390</xdr:rowOff>
    </xdr:from>
    <xdr:to>
      <xdr:col>6</xdr:col>
      <xdr:colOff>0</xdr:colOff>
      <xdr:row>154</xdr:row>
      <xdr:rowOff>91440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DA4F137-E31E-416C-9C9D-5C560F3BEAA7}"/>
            </a:ext>
          </a:extLst>
        </xdr:cNvPr>
        <xdr:cNvCxnSpPr/>
      </xdr:nvCxnSpPr>
      <xdr:spPr>
        <a:xfrm flipV="1">
          <a:off x="2962275" y="28542615"/>
          <a:ext cx="4191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154</xdr:row>
      <xdr:rowOff>93345</xdr:rowOff>
    </xdr:from>
    <xdr:to>
      <xdr:col>6</xdr:col>
      <xdr:colOff>0</xdr:colOff>
      <xdr:row>154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5556478-4DB8-4C09-B3C8-7CE6FA8D915E}"/>
            </a:ext>
          </a:extLst>
        </xdr:cNvPr>
        <xdr:cNvCxnSpPr/>
      </xdr:nvCxnSpPr>
      <xdr:spPr>
        <a:xfrm flipV="1">
          <a:off x="2977515" y="28754070"/>
          <a:ext cx="403860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154</xdr:row>
      <xdr:rowOff>114300</xdr:rowOff>
    </xdr:from>
    <xdr:to>
      <xdr:col>6</xdr:col>
      <xdr:colOff>0</xdr:colOff>
      <xdr:row>155</xdr:row>
      <xdr:rowOff>144780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7072B41-EDAD-4857-A800-A24E103E32A0}"/>
            </a:ext>
          </a:extLst>
        </xdr:cNvPr>
        <xdr:cNvCxnSpPr/>
      </xdr:nvCxnSpPr>
      <xdr:spPr>
        <a:xfrm>
          <a:off x="2954655" y="28775025"/>
          <a:ext cx="42672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</xdr:colOff>
      <xdr:row>156</xdr:row>
      <xdr:rowOff>74295</xdr:rowOff>
    </xdr:from>
    <xdr:to>
      <xdr:col>6</xdr:col>
      <xdr:colOff>0</xdr:colOff>
      <xdr:row>157</xdr:row>
      <xdr:rowOff>76200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F3850DE-76F0-4C7C-B7C1-44801507F2A3}"/>
            </a:ext>
          </a:extLst>
        </xdr:cNvPr>
        <xdr:cNvCxnSpPr/>
      </xdr:nvCxnSpPr>
      <xdr:spPr>
        <a:xfrm flipV="1">
          <a:off x="2992755" y="29116020"/>
          <a:ext cx="38862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41685</xdr:colOff>
      <xdr:row>157</xdr:row>
      <xdr:rowOff>83820</xdr:rowOff>
    </xdr:from>
    <xdr:to>
      <xdr:col>6</xdr:col>
      <xdr:colOff>44823</xdr:colOff>
      <xdr:row>157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70FBA33-B1ED-4D75-9C3E-D86FD1035A5F}"/>
            </a:ext>
          </a:extLst>
        </xdr:cNvPr>
        <xdr:cNvCxnSpPr/>
      </xdr:nvCxnSpPr>
      <xdr:spPr>
        <a:xfrm>
          <a:off x="3003960" y="29316045"/>
          <a:ext cx="422238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</xdr:colOff>
      <xdr:row>157</xdr:row>
      <xdr:rowOff>106680</xdr:rowOff>
    </xdr:from>
    <xdr:to>
      <xdr:col>6</xdr:col>
      <xdr:colOff>0</xdr:colOff>
      <xdr:row>158</xdr:row>
      <xdr:rowOff>133350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F636392-25A0-4DBD-AFA8-AD23D92D3424}"/>
            </a:ext>
          </a:extLst>
        </xdr:cNvPr>
        <xdr:cNvCxnSpPr/>
      </xdr:nvCxnSpPr>
      <xdr:spPr>
        <a:xfrm>
          <a:off x="3007995" y="29338905"/>
          <a:ext cx="37338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159</xdr:row>
      <xdr:rowOff>93345</xdr:rowOff>
    </xdr:from>
    <xdr:to>
      <xdr:col>6</xdr:col>
      <xdr:colOff>0</xdr:colOff>
      <xdr:row>160</xdr:row>
      <xdr:rowOff>91440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18B0ABC-A3D1-4E80-B038-B81B048C8461}"/>
            </a:ext>
          </a:extLst>
        </xdr:cNvPr>
        <xdr:cNvCxnSpPr/>
      </xdr:nvCxnSpPr>
      <xdr:spPr>
        <a:xfrm flipV="1">
          <a:off x="2947035" y="29706570"/>
          <a:ext cx="434340" cy="1885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160</xdr:row>
      <xdr:rowOff>93345</xdr:rowOff>
    </xdr:from>
    <xdr:to>
      <xdr:col>6</xdr:col>
      <xdr:colOff>0</xdr:colOff>
      <xdr:row>160</xdr:row>
      <xdr:rowOff>99060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4518AFE-40A1-4104-ADE8-39BC2772659F}"/>
            </a:ext>
          </a:extLst>
        </xdr:cNvPr>
        <xdr:cNvCxnSpPr/>
      </xdr:nvCxnSpPr>
      <xdr:spPr>
        <a:xfrm flipV="1">
          <a:off x="2962275" y="29897070"/>
          <a:ext cx="419100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160</xdr:row>
      <xdr:rowOff>83820</xdr:rowOff>
    </xdr:from>
    <xdr:to>
      <xdr:col>6</xdr:col>
      <xdr:colOff>0</xdr:colOff>
      <xdr:row>161</xdr:row>
      <xdr:rowOff>148590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C4FC70F-43EE-4959-9A1B-9A81CCDEADEF}"/>
            </a:ext>
          </a:extLst>
        </xdr:cNvPr>
        <xdr:cNvCxnSpPr/>
      </xdr:nvCxnSpPr>
      <xdr:spPr>
        <a:xfrm>
          <a:off x="2960370" y="29887545"/>
          <a:ext cx="421005" cy="2552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162</xdr:row>
      <xdr:rowOff>91440</xdr:rowOff>
    </xdr:from>
    <xdr:to>
      <xdr:col>6</xdr:col>
      <xdr:colOff>0</xdr:colOff>
      <xdr:row>163</xdr:row>
      <xdr:rowOff>91440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B93CC52-02EE-4D91-B55F-884237F03AE4}"/>
            </a:ext>
          </a:extLst>
        </xdr:cNvPr>
        <xdr:cNvCxnSpPr/>
      </xdr:nvCxnSpPr>
      <xdr:spPr>
        <a:xfrm flipV="1">
          <a:off x="2960370" y="30276165"/>
          <a:ext cx="42100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163</xdr:row>
      <xdr:rowOff>99060</xdr:rowOff>
    </xdr:from>
    <xdr:to>
      <xdr:col>6</xdr:col>
      <xdr:colOff>7620</xdr:colOff>
      <xdr:row>164</xdr:row>
      <xdr:rowOff>139065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877705A-BFF7-416F-961C-764043E3C9F3}"/>
            </a:ext>
          </a:extLst>
        </xdr:cNvPr>
        <xdr:cNvCxnSpPr/>
      </xdr:nvCxnSpPr>
      <xdr:spPr>
        <a:xfrm>
          <a:off x="2962275" y="30474285"/>
          <a:ext cx="426720" cy="2305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165</xdr:row>
      <xdr:rowOff>95250</xdr:rowOff>
    </xdr:from>
    <xdr:to>
      <xdr:col>5</xdr:col>
      <xdr:colOff>571500</xdr:colOff>
      <xdr:row>166</xdr:row>
      <xdr:rowOff>95250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79FF921-8BFD-4A48-BE84-485E2F813F0B}"/>
            </a:ext>
          </a:extLst>
        </xdr:cNvPr>
        <xdr:cNvCxnSpPr/>
      </xdr:nvCxnSpPr>
      <xdr:spPr>
        <a:xfrm flipV="1">
          <a:off x="2828925" y="30851475"/>
          <a:ext cx="5524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283845</xdr:colOff>
      <xdr:row>166</xdr:row>
      <xdr:rowOff>95250</xdr:rowOff>
    </xdr:from>
    <xdr:to>
      <xdr:col>5</xdr:col>
      <xdr:colOff>590550</xdr:colOff>
      <xdr:row>166</xdr:row>
      <xdr:rowOff>95250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AEA5E2D3-BCFF-48A2-B651-6C9D44E144D6}"/>
            </a:ext>
          </a:extLst>
        </xdr:cNvPr>
        <xdr:cNvCxnSpPr/>
      </xdr:nvCxnSpPr>
      <xdr:spPr>
        <a:xfrm>
          <a:off x="2827020" y="31041975"/>
          <a:ext cx="55435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166</xdr:row>
      <xdr:rowOff>95250</xdr:rowOff>
    </xdr:from>
    <xdr:to>
      <xdr:col>5</xdr:col>
      <xdr:colOff>571500</xdr:colOff>
      <xdr:row>167</xdr:row>
      <xdr:rowOff>144780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92E6C90-9890-49F8-BCDA-031A0839A79F}"/>
            </a:ext>
          </a:extLst>
        </xdr:cNvPr>
        <xdr:cNvCxnSpPr/>
      </xdr:nvCxnSpPr>
      <xdr:spPr>
        <a:xfrm>
          <a:off x="2825115" y="31041975"/>
          <a:ext cx="556260" cy="240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168</xdr:row>
      <xdr:rowOff>62865</xdr:rowOff>
    </xdr:from>
    <xdr:to>
      <xdr:col>5</xdr:col>
      <xdr:colOff>571500</xdr:colOff>
      <xdr:row>169</xdr:row>
      <xdr:rowOff>74295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E50AE1F-6C28-4E7A-A3EE-4163EF2E5310}"/>
            </a:ext>
          </a:extLst>
        </xdr:cNvPr>
        <xdr:cNvCxnSpPr/>
      </xdr:nvCxnSpPr>
      <xdr:spPr>
        <a:xfrm flipV="1">
          <a:off x="2825115" y="31390590"/>
          <a:ext cx="55626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287655</xdr:colOff>
      <xdr:row>169</xdr:row>
      <xdr:rowOff>74295</xdr:rowOff>
    </xdr:from>
    <xdr:to>
      <xdr:col>5</xdr:col>
      <xdr:colOff>586740</xdr:colOff>
      <xdr:row>169</xdr:row>
      <xdr:rowOff>74295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B56EC844-D4F2-42DC-A68E-D44FD65E0909}"/>
            </a:ext>
          </a:extLst>
        </xdr:cNvPr>
        <xdr:cNvCxnSpPr/>
      </xdr:nvCxnSpPr>
      <xdr:spPr>
        <a:xfrm>
          <a:off x="2830830" y="31592520"/>
          <a:ext cx="5467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169</xdr:row>
      <xdr:rowOff>74295</xdr:rowOff>
    </xdr:from>
    <xdr:to>
      <xdr:col>5</xdr:col>
      <xdr:colOff>571500</xdr:colOff>
      <xdr:row>170</xdr:row>
      <xdr:rowOff>142875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4A17BB8B-005A-427D-A51F-3F73B7ADCD9A}"/>
            </a:ext>
          </a:extLst>
        </xdr:cNvPr>
        <xdr:cNvCxnSpPr/>
      </xdr:nvCxnSpPr>
      <xdr:spPr>
        <a:xfrm>
          <a:off x="2828925" y="31592520"/>
          <a:ext cx="55245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440055</xdr:colOff>
      <xdr:row>1</xdr:row>
      <xdr:rowOff>168592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8BDDAFB-27D1-4480-B623-4DE8808CC7A4}"/>
            </a:ext>
          </a:extLst>
        </xdr:cNvPr>
        <xdr:cNvSpPr txBox="1"/>
      </xdr:nvSpPr>
      <xdr:spPr>
        <a:xfrm>
          <a:off x="6136005" y="36861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twoCellAnchor>
    <xdr:from>
      <xdr:col>4</xdr:col>
      <xdr:colOff>426720</xdr:colOff>
      <xdr:row>151</xdr:row>
      <xdr:rowOff>99060</xdr:rowOff>
    </xdr:from>
    <xdr:to>
      <xdr:col>6</xdr:col>
      <xdr:colOff>0</xdr:colOff>
      <xdr:row>152</xdr:row>
      <xdr:rowOff>144780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1D18D98-B31C-4AA0-A11A-89B1C2954341}"/>
            </a:ext>
          </a:extLst>
        </xdr:cNvPr>
        <xdr:cNvCxnSpPr/>
      </xdr:nvCxnSpPr>
      <xdr:spPr>
        <a:xfrm>
          <a:off x="2960370" y="28188285"/>
          <a:ext cx="421005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151</xdr:row>
      <xdr:rowOff>81915</xdr:rowOff>
    </xdr:from>
    <xdr:to>
      <xdr:col>5</xdr:col>
      <xdr:colOff>430530</xdr:colOff>
      <xdr:row>151</xdr:row>
      <xdr:rowOff>91440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D6438248-54B2-4AD0-A9C9-84F2B49B90AD}"/>
            </a:ext>
          </a:extLst>
        </xdr:cNvPr>
        <xdr:cNvCxnSpPr/>
      </xdr:nvCxnSpPr>
      <xdr:spPr>
        <a:xfrm flipV="1">
          <a:off x="2960370" y="28171140"/>
          <a:ext cx="42291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150</xdr:row>
      <xdr:rowOff>49530</xdr:rowOff>
    </xdr:from>
    <xdr:to>
      <xdr:col>6</xdr:col>
      <xdr:colOff>0</xdr:colOff>
      <xdr:row>151</xdr:row>
      <xdr:rowOff>76200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942C12D-A96D-44BB-A1E8-2DBEDEFDA9E0}"/>
            </a:ext>
          </a:extLst>
        </xdr:cNvPr>
        <xdr:cNvCxnSpPr/>
      </xdr:nvCxnSpPr>
      <xdr:spPr>
        <a:xfrm flipV="1">
          <a:off x="2954655" y="27948255"/>
          <a:ext cx="426720" cy="2171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163</xdr:row>
      <xdr:rowOff>95250</xdr:rowOff>
    </xdr:from>
    <xdr:to>
      <xdr:col>6</xdr:col>
      <xdr:colOff>0</xdr:colOff>
      <xdr:row>163</xdr:row>
      <xdr:rowOff>99060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9185A00F-5C3C-4AEF-8807-9DF32DE7A393}"/>
            </a:ext>
          </a:extLst>
        </xdr:cNvPr>
        <xdr:cNvCxnSpPr/>
      </xdr:nvCxnSpPr>
      <xdr:spPr>
        <a:xfrm flipV="1">
          <a:off x="2985135" y="30470475"/>
          <a:ext cx="39624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130</xdr:row>
      <xdr:rowOff>76200</xdr:rowOff>
    </xdr:from>
    <xdr:to>
      <xdr:col>7</xdr:col>
      <xdr:colOff>419100</xdr:colOff>
      <xdr:row>133</xdr:row>
      <xdr:rowOff>76200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12C622E-A7EE-40F1-A17F-851C5429DCCA}"/>
            </a:ext>
          </a:extLst>
        </xdr:cNvPr>
        <xdr:cNvCxnSpPr/>
      </xdr:nvCxnSpPr>
      <xdr:spPr>
        <a:xfrm flipV="1">
          <a:off x="3792855" y="24164925"/>
          <a:ext cx="50292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133</xdr:row>
      <xdr:rowOff>83820</xdr:rowOff>
    </xdr:from>
    <xdr:to>
      <xdr:col>8</xdr:col>
      <xdr:colOff>7620</xdr:colOff>
      <xdr:row>133</xdr:row>
      <xdr:rowOff>83820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A5C14A3-3CBD-4B5E-9C9C-5270DBA3601D}"/>
            </a:ext>
          </a:extLst>
        </xdr:cNvPr>
        <xdr:cNvCxnSpPr/>
      </xdr:nvCxnSpPr>
      <xdr:spPr>
        <a:xfrm>
          <a:off x="3800475" y="247440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133</xdr:row>
      <xdr:rowOff>91440</xdr:rowOff>
    </xdr:from>
    <xdr:to>
      <xdr:col>8</xdr:col>
      <xdr:colOff>7620</xdr:colOff>
      <xdr:row>136</xdr:row>
      <xdr:rowOff>121920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9BC87E43-5A66-49E6-A7EB-3CAAE2717ED6}"/>
            </a:ext>
          </a:extLst>
        </xdr:cNvPr>
        <xdr:cNvCxnSpPr/>
      </xdr:nvCxnSpPr>
      <xdr:spPr>
        <a:xfrm>
          <a:off x="3808095" y="24751665"/>
          <a:ext cx="49530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11</xdr:row>
      <xdr:rowOff>76200</xdr:rowOff>
    </xdr:from>
    <xdr:to>
      <xdr:col>7</xdr:col>
      <xdr:colOff>419100</xdr:colOff>
      <xdr:row>14</xdr:row>
      <xdr:rowOff>76200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B5D5B3AB-6A9F-4702-898B-1B1FDB0BE9DC}"/>
            </a:ext>
          </a:extLst>
        </xdr:cNvPr>
        <xdr:cNvCxnSpPr/>
      </xdr:nvCxnSpPr>
      <xdr:spPr>
        <a:xfrm flipV="1">
          <a:off x="3792855" y="2181225"/>
          <a:ext cx="50292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</xdr:row>
      <xdr:rowOff>83820</xdr:rowOff>
    </xdr:from>
    <xdr:to>
      <xdr:col>8</xdr:col>
      <xdr:colOff>7620</xdr:colOff>
      <xdr:row>14</xdr:row>
      <xdr:rowOff>83820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B1954357-95A0-4E23-AD83-6D758B05E542}"/>
            </a:ext>
          </a:extLst>
        </xdr:cNvPr>
        <xdr:cNvCxnSpPr/>
      </xdr:nvCxnSpPr>
      <xdr:spPr>
        <a:xfrm>
          <a:off x="3800475" y="27603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</xdr:row>
      <xdr:rowOff>91440</xdr:rowOff>
    </xdr:from>
    <xdr:to>
      <xdr:col>8</xdr:col>
      <xdr:colOff>7620</xdr:colOff>
      <xdr:row>124</xdr:row>
      <xdr:rowOff>121920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2DF9BE37-053B-4EEF-B03C-3C5F514C016A}"/>
            </a:ext>
          </a:extLst>
        </xdr:cNvPr>
        <xdr:cNvCxnSpPr/>
      </xdr:nvCxnSpPr>
      <xdr:spPr>
        <a:xfrm>
          <a:off x="3808095" y="2767965"/>
          <a:ext cx="495300" cy="20299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138</xdr:row>
      <xdr:rowOff>76200</xdr:rowOff>
    </xdr:from>
    <xdr:to>
      <xdr:col>7</xdr:col>
      <xdr:colOff>419100</xdr:colOff>
      <xdr:row>139</xdr:row>
      <xdr:rowOff>76200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7AB44B0D-E75B-4F63-9DC5-A4FADA429271}"/>
            </a:ext>
          </a:extLst>
        </xdr:cNvPr>
        <xdr:cNvCxnSpPr/>
      </xdr:nvCxnSpPr>
      <xdr:spPr>
        <a:xfrm flipV="1">
          <a:off x="3792855" y="25688925"/>
          <a:ext cx="5029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139</xdr:row>
      <xdr:rowOff>83820</xdr:rowOff>
    </xdr:from>
    <xdr:to>
      <xdr:col>8</xdr:col>
      <xdr:colOff>7620</xdr:colOff>
      <xdr:row>139</xdr:row>
      <xdr:rowOff>83820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D4E5B9EA-902B-4053-B5EF-D125CD6FC096}"/>
            </a:ext>
          </a:extLst>
        </xdr:cNvPr>
        <xdr:cNvCxnSpPr/>
      </xdr:nvCxnSpPr>
      <xdr:spPr>
        <a:xfrm>
          <a:off x="3800475" y="258870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139</xdr:row>
      <xdr:rowOff>91440</xdr:rowOff>
    </xdr:from>
    <xdr:to>
      <xdr:col>8</xdr:col>
      <xdr:colOff>7620</xdr:colOff>
      <xdr:row>140</xdr:row>
      <xdr:rowOff>121920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E0C62B71-B37D-44D7-A246-C0878F7EC5E7}"/>
            </a:ext>
          </a:extLst>
        </xdr:cNvPr>
        <xdr:cNvCxnSpPr/>
      </xdr:nvCxnSpPr>
      <xdr:spPr>
        <a:xfrm>
          <a:off x="3808095" y="25894665"/>
          <a:ext cx="4953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144</xdr:row>
      <xdr:rowOff>76200</xdr:rowOff>
    </xdr:from>
    <xdr:to>
      <xdr:col>7</xdr:col>
      <xdr:colOff>419100</xdr:colOff>
      <xdr:row>145</xdr:row>
      <xdr:rowOff>76200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9DDDC84-231A-488B-97F2-0440711F2195}"/>
            </a:ext>
          </a:extLst>
        </xdr:cNvPr>
        <xdr:cNvCxnSpPr/>
      </xdr:nvCxnSpPr>
      <xdr:spPr>
        <a:xfrm flipV="1">
          <a:off x="3792855" y="26831925"/>
          <a:ext cx="5029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145</xdr:row>
      <xdr:rowOff>83820</xdr:rowOff>
    </xdr:from>
    <xdr:to>
      <xdr:col>8</xdr:col>
      <xdr:colOff>7620</xdr:colOff>
      <xdr:row>145</xdr:row>
      <xdr:rowOff>83820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BCCBBC17-15A1-4905-819D-EE23B10A135B}"/>
            </a:ext>
          </a:extLst>
        </xdr:cNvPr>
        <xdr:cNvCxnSpPr/>
      </xdr:nvCxnSpPr>
      <xdr:spPr>
        <a:xfrm>
          <a:off x="3800475" y="270300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145</xdr:row>
      <xdr:rowOff>91440</xdr:rowOff>
    </xdr:from>
    <xdr:to>
      <xdr:col>8</xdr:col>
      <xdr:colOff>7620</xdr:colOff>
      <xdr:row>146</xdr:row>
      <xdr:rowOff>121920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F4F872BF-606A-49A5-80F0-0F369769C015}"/>
            </a:ext>
          </a:extLst>
        </xdr:cNvPr>
        <xdr:cNvCxnSpPr/>
      </xdr:nvCxnSpPr>
      <xdr:spPr>
        <a:xfrm>
          <a:off x="3808095" y="27037665"/>
          <a:ext cx="4953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141</xdr:row>
      <xdr:rowOff>76200</xdr:rowOff>
    </xdr:from>
    <xdr:to>
      <xdr:col>7</xdr:col>
      <xdr:colOff>419100</xdr:colOff>
      <xdr:row>142</xdr:row>
      <xdr:rowOff>76200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88ADAE4-A9CC-4A5A-94CB-E7E544F3F6C9}"/>
            </a:ext>
          </a:extLst>
        </xdr:cNvPr>
        <xdr:cNvCxnSpPr/>
      </xdr:nvCxnSpPr>
      <xdr:spPr>
        <a:xfrm flipV="1">
          <a:off x="3792855" y="26260425"/>
          <a:ext cx="5029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142</xdr:row>
      <xdr:rowOff>83820</xdr:rowOff>
    </xdr:from>
    <xdr:to>
      <xdr:col>8</xdr:col>
      <xdr:colOff>7620</xdr:colOff>
      <xdr:row>142</xdr:row>
      <xdr:rowOff>83820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7D0A1F1-7D32-413A-9DDB-B8D7AAEE818D}"/>
            </a:ext>
          </a:extLst>
        </xdr:cNvPr>
        <xdr:cNvCxnSpPr/>
      </xdr:nvCxnSpPr>
      <xdr:spPr>
        <a:xfrm>
          <a:off x="3800475" y="264585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142</xdr:row>
      <xdr:rowOff>91440</xdr:rowOff>
    </xdr:from>
    <xdr:to>
      <xdr:col>8</xdr:col>
      <xdr:colOff>7620</xdr:colOff>
      <xdr:row>143</xdr:row>
      <xdr:rowOff>121920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48CEE2C2-CD32-4C9D-A27E-D44997CDF539}"/>
            </a:ext>
          </a:extLst>
        </xdr:cNvPr>
        <xdr:cNvCxnSpPr/>
      </xdr:nvCxnSpPr>
      <xdr:spPr>
        <a:xfrm>
          <a:off x="3808095" y="26466165"/>
          <a:ext cx="4953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147</xdr:row>
      <xdr:rowOff>76200</xdr:rowOff>
    </xdr:from>
    <xdr:to>
      <xdr:col>7</xdr:col>
      <xdr:colOff>419100</xdr:colOff>
      <xdr:row>148</xdr:row>
      <xdr:rowOff>76200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A7199B79-0334-42E5-A925-A780D81BAC1A}"/>
            </a:ext>
          </a:extLst>
        </xdr:cNvPr>
        <xdr:cNvCxnSpPr/>
      </xdr:nvCxnSpPr>
      <xdr:spPr>
        <a:xfrm flipV="1">
          <a:off x="3792855" y="27403425"/>
          <a:ext cx="50292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148</xdr:row>
      <xdr:rowOff>83820</xdr:rowOff>
    </xdr:from>
    <xdr:to>
      <xdr:col>8</xdr:col>
      <xdr:colOff>7620</xdr:colOff>
      <xdr:row>148</xdr:row>
      <xdr:rowOff>83820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81B417F6-24F6-451F-B766-75ACFA56B45A}"/>
            </a:ext>
          </a:extLst>
        </xdr:cNvPr>
        <xdr:cNvCxnSpPr/>
      </xdr:nvCxnSpPr>
      <xdr:spPr>
        <a:xfrm>
          <a:off x="3800475" y="2760154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148</xdr:row>
      <xdr:rowOff>91440</xdr:rowOff>
    </xdr:from>
    <xdr:to>
      <xdr:col>8</xdr:col>
      <xdr:colOff>7620</xdr:colOff>
      <xdr:row>149</xdr:row>
      <xdr:rowOff>121920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7A22EDC5-434B-473E-823F-29B3F5A08611}"/>
            </a:ext>
          </a:extLst>
        </xdr:cNvPr>
        <xdr:cNvCxnSpPr/>
      </xdr:nvCxnSpPr>
      <xdr:spPr>
        <a:xfrm>
          <a:off x="3808095" y="27609165"/>
          <a:ext cx="4953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66675</xdr:rowOff>
    </xdr:from>
    <xdr:to>
      <xdr:col>9</xdr:col>
      <xdr:colOff>542925</xdr:colOff>
      <xdr:row>11</xdr:row>
      <xdr:rowOff>76200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9D044F68-40F5-4F1E-93E0-E389B421A97C}"/>
            </a:ext>
          </a:extLst>
        </xdr:cNvPr>
        <xdr:cNvCxnSpPr/>
      </xdr:nvCxnSpPr>
      <xdr:spPr>
        <a:xfrm flipV="1">
          <a:off x="4695825" y="19812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11</xdr:row>
      <xdr:rowOff>83820</xdr:rowOff>
    </xdr:from>
    <xdr:to>
      <xdr:col>10</xdr:col>
      <xdr:colOff>7620</xdr:colOff>
      <xdr:row>11</xdr:row>
      <xdr:rowOff>83820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A534E899-4AE7-47A2-B0D4-87FE09353573}"/>
            </a:ext>
          </a:extLst>
        </xdr:cNvPr>
        <xdr:cNvCxnSpPr/>
      </xdr:nvCxnSpPr>
      <xdr:spPr>
        <a:xfrm>
          <a:off x="4695825" y="21888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11</xdr:row>
      <xdr:rowOff>91440</xdr:rowOff>
    </xdr:from>
    <xdr:to>
      <xdr:col>10</xdr:col>
      <xdr:colOff>7620</xdr:colOff>
      <xdr:row>12</xdr:row>
      <xdr:rowOff>121920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354A74AA-289E-4874-A230-4AF1C700A915}"/>
            </a:ext>
          </a:extLst>
        </xdr:cNvPr>
        <xdr:cNvCxnSpPr/>
      </xdr:nvCxnSpPr>
      <xdr:spPr>
        <a:xfrm>
          <a:off x="4693920" y="21964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66675</xdr:rowOff>
    </xdr:from>
    <xdr:to>
      <xdr:col>9</xdr:col>
      <xdr:colOff>542925</xdr:colOff>
      <xdr:row>14</xdr:row>
      <xdr:rowOff>76200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A3D9E41A-EAFF-4F08-9EA9-2021F2032266}"/>
            </a:ext>
          </a:extLst>
        </xdr:cNvPr>
        <xdr:cNvCxnSpPr/>
      </xdr:nvCxnSpPr>
      <xdr:spPr>
        <a:xfrm flipV="1">
          <a:off x="4695825" y="25527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14</xdr:row>
      <xdr:rowOff>83820</xdr:rowOff>
    </xdr:from>
    <xdr:to>
      <xdr:col>10</xdr:col>
      <xdr:colOff>7620</xdr:colOff>
      <xdr:row>14</xdr:row>
      <xdr:rowOff>83820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B3D1141D-5E45-4CA5-AB07-08E626C71566}"/>
            </a:ext>
          </a:extLst>
        </xdr:cNvPr>
        <xdr:cNvCxnSpPr/>
      </xdr:nvCxnSpPr>
      <xdr:spPr>
        <a:xfrm>
          <a:off x="4695825" y="27603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14</xdr:row>
      <xdr:rowOff>91440</xdr:rowOff>
    </xdr:from>
    <xdr:to>
      <xdr:col>10</xdr:col>
      <xdr:colOff>7620</xdr:colOff>
      <xdr:row>15</xdr:row>
      <xdr:rowOff>121920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CCA10672-213E-4522-939A-2F41980E21FE}"/>
            </a:ext>
          </a:extLst>
        </xdr:cNvPr>
        <xdr:cNvCxnSpPr/>
      </xdr:nvCxnSpPr>
      <xdr:spPr>
        <a:xfrm>
          <a:off x="4693920" y="27679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118</xdr:row>
      <xdr:rowOff>66675</xdr:rowOff>
    </xdr:from>
    <xdr:to>
      <xdr:col>9</xdr:col>
      <xdr:colOff>542925</xdr:colOff>
      <xdr:row>124</xdr:row>
      <xdr:rowOff>76200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F29C7367-1819-46C8-90CA-ADF4AEE5E1E2}"/>
            </a:ext>
          </a:extLst>
        </xdr:cNvPr>
        <xdr:cNvCxnSpPr/>
      </xdr:nvCxnSpPr>
      <xdr:spPr>
        <a:xfrm flipV="1">
          <a:off x="4695825" y="21869400"/>
          <a:ext cx="542925" cy="1152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124</xdr:row>
      <xdr:rowOff>83820</xdr:rowOff>
    </xdr:from>
    <xdr:to>
      <xdr:col>10</xdr:col>
      <xdr:colOff>7620</xdr:colOff>
      <xdr:row>124</xdr:row>
      <xdr:rowOff>83820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A258E4DA-25B9-4E3E-87A1-2EA3E0E84045}"/>
            </a:ext>
          </a:extLst>
        </xdr:cNvPr>
        <xdr:cNvCxnSpPr/>
      </xdr:nvCxnSpPr>
      <xdr:spPr>
        <a:xfrm>
          <a:off x="4695825" y="230295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124</xdr:row>
      <xdr:rowOff>91440</xdr:rowOff>
    </xdr:from>
    <xdr:to>
      <xdr:col>10</xdr:col>
      <xdr:colOff>7620</xdr:colOff>
      <xdr:row>127</xdr:row>
      <xdr:rowOff>121920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959498E6-2970-4F9F-9C70-8678DD941F32}"/>
            </a:ext>
          </a:extLst>
        </xdr:cNvPr>
        <xdr:cNvCxnSpPr/>
      </xdr:nvCxnSpPr>
      <xdr:spPr>
        <a:xfrm>
          <a:off x="4693920" y="23037165"/>
          <a:ext cx="57150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129</xdr:row>
      <xdr:rowOff>66675</xdr:rowOff>
    </xdr:from>
    <xdr:to>
      <xdr:col>9</xdr:col>
      <xdr:colOff>542925</xdr:colOff>
      <xdr:row>130</xdr:row>
      <xdr:rowOff>76200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F1383B32-7EA3-48D4-B610-9CC3EC37457C}"/>
            </a:ext>
          </a:extLst>
        </xdr:cNvPr>
        <xdr:cNvCxnSpPr/>
      </xdr:nvCxnSpPr>
      <xdr:spPr>
        <a:xfrm flipV="1">
          <a:off x="4695825" y="239649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130</xdr:row>
      <xdr:rowOff>83820</xdr:rowOff>
    </xdr:from>
    <xdr:to>
      <xdr:col>10</xdr:col>
      <xdr:colOff>7620</xdr:colOff>
      <xdr:row>130</xdr:row>
      <xdr:rowOff>83820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CBACD0CC-7D9B-49EE-8212-12167C397653}"/>
            </a:ext>
          </a:extLst>
        </xdr:cNvPr>
        <xdr:cNvCxnSpPr/>
      </xdr:nvCxnSpPr>
      <xdr:spPr>
        <a:xfrm>
          <a:off x="4695825" y="241725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130</xdr:row>
      <xdr:rowOff>91440</xdr:rowOff>
    </xdr:from>
    <xdr:to>
      <xdr:col>10</xdr:col>
      <xdr:colOff>7620</xdr:colOff>
      <xdr:row>131</xdr:row>
      <xdr:rowOff>121920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4B82D1E-0EEF-4C4D-A10C-5583711D647E}"/>
            </a:ext>
          </a:extLst>
        </xdr:cNvPr>
        <xdr:cNvCxnSpPr/>
      </xdr:nvCxnSpPr>
      <xdr:spPr>
        <a:xfrm>
          <a:off x="4693920" y="241801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132</xdr:row>
      <xdr:rowOff>66675</xdr:rowOff>
    </xdr:from>
    <xdr:to>
      <xdr:col>9</xdr:col>
      <xdr:colOff>542925</xdr:colOff>
      <xdr:row>133</xdr:row>
      <xdr:rowOff>76200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5F17C6BA-B0D7-49DF-972F-19627CD8B890}"/>
            </a:ext>
          </a:extLst>
        </xdr:cNvPr>
        <xdr:cNvCxnSpPr/>
      </xdr:nvCxnSpPr>
      <xdr:spPr>
        <a:xfrm flipV="1">
          <a:off x="4695825" y="245364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133</xdr:row>
      <xdr:rowOff>83820</xdr:rowOff>
    </xdr:from>
    <xdr:to>
      <xdr:col>10</xdr:col>
      <xdr:colOff>7620</xdr:colOff>
      <xdr:row>133</xdr:row>
      <xdr:rowOff>83820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8074624-7165-4B44-9393-420D5F28CBD5}"/>
            </a:ext>
          </a:extLst>
        </xdr:cNvPr>
        <xdr:cNvCxnSpPr/>
      </xdr:nvCxnSpPr>
      <xdr:spPr>
        <a:xfrm>
          <a:off x="4695825" y="247440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133</xdr:row>
      <xdr:rowOff>91440</xdr:rowOff>
    </xdr:from>
    <xdr:to>
      <xdr:col>10</xdr:col>
      <xdr:colOff>7620</xdr:colOff>
      <xdr:row>134</xdr:row>
      <xdr:rowOff>121920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D9BB9AE-2640-4AE9-86A2-710393DFC12B}"/>
            </a:ext>
          </a:extLst>
        </xdr:cNvPr>
        <xdr:cNvCxnSpPr/>
      </xdr:nvCxnSpPr>
      <xdr:spPr>
        <a:xfrm>
          <a:off x="4693920" y="247516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66675</xdr:rowOff>
    </xdr:from>
    <xdr:to>
      <xdr:col>9</xdr:col>
      <xdr:colOff>542925</xdr:colOff>
      <xdr:row>136</xdr:row>
      <xdr:rowOff>76200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CB8A82B-2C1F-4969-8382-94F3ACAA10EC}"/>
            </a:ext>
          </a:extLst>
        </xdr:cNvPr>
        <xdr:cNvCxnSpPr/>
      </xdr:nvCxnSpPr>
      <xdr:spPr>
        <a:xfrm flipV="1">
          <a:off x="4695825" y="251079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136</xdr:row>
      <xdr:rowOff>83820</xdr:rowOff>
    </xdr:from>
    <xdr:to>
      <xdr:col>10</xdr:col>
      <xdr:colOff>7620</xdr:colOff>
      <xdr:row>136</xdr:row>
      <xdr:rowOff>83820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7AF9D0D-09E6-440E-A8E7-C60363F29034}"/>
            </a:ext>
          </a:extLst>
        </xdr:cNvPr>
        <xdr:cNvCxnSpPr/>
      </xdr:nvCxnSpPr>
      <xdr:spPr>
        <a:xfrm>
          <a:off x="4695825" y="253155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136</xdr:row>
      <xdr:rowOff>91440</xdr:rowOff>
    </xdr:from>
    <xdr:to>
      <xdr:col>10</xdr:col>
      <xdr:colOff>7620</xdr:colOff>
      <xdr:row>137</xdr:row>
      <xdr:rowOff>121920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A8330B42-EE81-4F0B-9610-BE446F26E80E}"/>
            </a:ext>
          </a:extLst>
        </xdr:cNvPr>
        <xdr:cNvCxnSpPr/>
      </xdr:nvCxnSpPr>
      <xdr:spPr>
        <a:xfrm>
          <a:off x="4693920" y="253231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108</xdr:row>
      <xdr:rowOff>66675</xdr:rowOff>
    </xdr:from>
    <xdr:to>
      <xdr:col>11</xdr:col>
      <xdr:colOff>542925</xdr:colOff>
      <xdr:row>118</xdr:row>
      <xdr:rowOff>76200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4C45ED2A-67E6-4959-B5B1-33D385CE301C}"/>
            </a:ext>
          </a:extLst>
        </xdr:cNvPr>
        <xdr:cNvCxnSpPr/>
      </xdr:nvCxnSpPr>
      <xdr:spPr>
        <a:xfrm flipV="1">
          <a:off x="5695950" y="19964400"/>
          <a:ext cx="542925" cy="1914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118</xdr:row>
      <xdr:rowOff>83820</xdr:rowOff>
    </xdr:from>
    <xdr:to>
      <xdr:col>12</xdr:col>
      <xdr:colOff>7620</xdr:colOff>
      <xdr:row>118</xdr:row>
      <xdr:rowOff>83820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41136352-099D-46CD-B9F5-69FCF4B87F1E}"/>
            </a:ext>
          </a:extLst>
        </xdr:cNvPr>
        <xdr:cNvCxnSpPr/>
      </xdr:nvCxnSpPr>
      <xdr:spPr>
        <a:xfrm>
          <a:off x="5676900" y="21886545"/>
          <a:ext cx="5886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118</xdr:row>
      <xdr:rowOff>91440</xdr:rowOff>
    </xdr:from>
    <xdr:to>
      <xdr:col>12</xdr:col>
      <xdr:colOff>7620</xdr:colOff>
      <xdr:row>121</xdr:row>
      <xdr:rowOff>121920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884FF13-DE23-4FB2-A409-E0E1368F6402}"/>
            </a:ext>
          </a:extLst>
        </xdr:cNvPr>
        <xdr:cNvCxnSpPr/>
      </xdr:nvCxnSpPr>
      <xdr:spPr>
        <a:xfrm>
          <a:off x="5684520" y="21894165"/>
          <a:ext cx="581025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123</xdr:row>
      <xdr:rowOff>66675</xdr:rowOff>
    </xdr:from>
    <xdr:to>
      <xdr:col>11</xdr:col>
      <xdr:colOff>542925</xdr:colOff>
      <xdr:row>124</xdr:row>
      <xdr:rowOff>76200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47D2564A-5472-4C71-91C8-C74C123C24F6}"/>
            </a:ext>
          </a:extLst>
        </xdr:cNvPr>
        <xdr:cNvCxnSpPr/>
      </xdr:nvCxnSpPr>
      <xdr:spPr>
        <a:xfrm flipV="1">
          <a:off x="5695950" y="228219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124</xdr:row>
      <xdr:rowOff>83820</xdr:rowOff>
    </xdr:from>
    <xdr:to>
      <xdr:col>12</xdr:col>
      <xdr:colOff>7620</xdr:colOff>
      <xdr:row>124</xdr:row>
      <xdr:rowOff>83820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70E2FF24-CF46-424D-B4BF-8C5BF932C031}"/>
            </a:ext>
          </a:extLst>
        </xdr:cNvPr>
        <xdr:cNvCxnSpPr/>
      </xdr:nvCxnSpPr>
      <xdr:spPr>
        <a:xfrm>
          <a:off x="5676900" y="23029545"/>
          <a:ext cx="5886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124</xdr:row>
      <xdr:rowOff>91440</xdr:rowOff>
    </xdr:from>
    <xdr:to>
      <xdr:col>12</xdr:col>
      <xdr:colOff>7620</xdr:colOff>
      <xdr:row>125</xdr:row>
      <xdr:rowOff>121920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414F088D-315F-4C42-AE5C-06B781030964}"/>
            </a:ext>
          </a:extLst>
        </xdr:cNvPr>
        <xdr:cNvCxnSpPr/>
      </xdr:nvCxnSpPr>
      <xdr:spPr>
        <a:xfrm>
          <a:off x="5684520" y="23037165"/>
          <a:ext cx="5810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126</xdr:row>
      <xdr:rowOff>66675</xdr:rowOff>
    </xdr:from>
    <xdr:to>
      <xdr:col>11</xdr:col>
      <xdr:colOff>542925</xdr:colOff>
      <xdr:row>127</xdr:row>
      <xdr:rowOff>76200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B926A0BE-DB0D-4A3B-B8AF-D8276391B6A6}"/>
            </a:ext>
          </a:extLst>
        </xdr:cNvPr>
        <xdr:cNvCxnSpPr/>
      </xdr:nvCxnSpPr>
      <xdr:spPr>
        <a:xfrm flipV="1">
          <a:off x="5695950" y="233934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127</xdr:row>
      <xdr:rowOff>83820</xdr:rowOff>
    </xdr:from>
    <xdr:to>
      <xdr:col>12</xdr:col>
      <xdr:colOff>7620</xdr:colOff>
      <xdr:row>127</xdr:row>
      <xdr:rowOff>83820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7AD7F7CA-68D2-48F6-B182-EB1491DAAF4E}"/>
            </a:ext>
          </a:extLst>
        </xdr:cNvPr>
        <xdr:cNvCxnSpPr/>
      </xdr:nvCxnSpPr>
      <xdr:spPr>
        <a:xfrm>
          <a:off x="5676900" y="23601045"/>
          <a:ext cx="5886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426720</xdr:colOff>
      <xdr:row>127</xdr:row>
      <xdr:rowOff>91440</xdr:rowOff>
    </xdr:from>
    <xdr:to>
      <xdr:col>12</xdr:col>
      <xdr:colOff>7620</xdr:colOff>
      <xdr:row>128</xdr:row>
      <xdr:rowOff>121920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54573008-F2AF-48A6-9A14-5A9853588DFE}"/>
            </a:ext>
          </a:extLst>
        </xdr:cNvPr>
        <xdr:cNvCxnSpPr/>
      </xdr:nvCxnSpPr>
      <xdr:spPr>
        <a:xfrm>
          <a:off x="5684520" y="23608665"/>
          <a:ext cx="5810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66675</xdr:rowOff>
    </xdr:from>
    <xdr:to>
      <xdr:col>13</xdr:col>
      <xdr:colOff>542925</xdr:colOff>
      <xdr:row>108</xdr:row>
      <xdr:rowOff>76200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2213FA40-23ED-4904-A665-D805822C1547}"/>
            </a:ext>
          </a:extLst>
        </xdr:cNvPr>
        <xdr:cNvCxnSpPr/>
      </xdr:nvCxnSpPr>
      <xdr:spPr>
        <a:xfrm flipV="1">
          <a:off x="6657975" y="3314700"/>
          <a:ext cx="542925" cy="16659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108</xdr:row>
      <xdr:rowOff>83820</xdr:rowOff>
    </xdr:from>
    <xdr:to>
      <xdr:col>14</xdr:col>
      <xdr:colOff>7620</xdr:colOff>
      <xdr:row>108</xdr:row>
      <xdr:rowOff>83820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E209F96A-C97A-4611-A7A4-2A66FF5E3E61}"/>
            </a:ext>
          </a:extLst>
        </xdr:cNvPr>
        <xdr:cNvCxnSpPr/>
      </xdr:nvCxnSpPr>
      <xdr:spPr>
        <a:xfrm>
          <a:off x="6657975" y="199815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108</xdr:row>
      <xdr:rowOff>91440</xdr:rowOff>
    </xdr:from>
    <xdr:to>
      <xdr:col>14</xdr:col>
      <xdr:colOff>7620</xdr:colOff>
      <xdr:row>116</xdr:row>
      <xdr:rowOff>121920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2816A663-B156-4656-AF8F-448AD1284DB3}"/>
            </a:ext>
          </a:extLst>
        </xdr:cNvPr>
        <xdr:cNvCxnSpPr/>
      </xdr:nvCxnSpPr>
      <xdr:spPr>
        <a:xfrm>
          <a:off x="6656070" y="19989165"/>
          <a:ext cx="571500" cy="1554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117</xdr:row>
      <xdr:rowOff>66675</xdr:rowOff>
    </xdr:from>
    <xdr:to>
      <xdr:col>13</xdr:col>
      <xdr:colOff>542925</xdr:colOff>
      <xdr:row>118</xdr:row>
      <xdr:rowOff>76200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8A838B71-714B-4859-99C6-9A47F8ABC3FD}"/>
            </a:ext>
          </a:extLst>
        </xdr:cNvPr>
        <xdr:cNvCxnSpPr/>
      </xdr:nvCxnSpPr>
      <xdr:spPr>
        <a:xfrm flipV="1">
          <a:off x="6657975" y="216789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118</xdr:row>
      <xdr:rowOff>83820</xdr:rowOff>
    </xdr:from>
    <xdr:to>
      <xdr:col>14</xdr:col>
      <xdr:colOff>7620</xdr:colOff>
      <xdr:row>118</xdr:row>
      <xdr:rowOff>83820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217713ED-140B-41E2-AC48-96C1DF036058}"/>
            </a:ext>
          </a:extLst>
        </xdr:cNvPr>
        <xdr:cNvCxnSpPr/>
      </xdr:nvCxnSpPr>
      <xdr:spPr>
        <a:xfrm>
          <a:off x="6657975" y="218865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118</xdr:row>
      <xdr:rowOff>91440</xdr:rowOff>
    </xdr:from>
    <xdr:to>
      <xdr:col>14</xdr:col>
      <xdr:colOff>7620</xdr:colOff>
      <xdr:row>119</xdr:row>
      <xdr:rowOff>121920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24CA80EE-0131-4E40-BE28-9B0D7113EA46}"/>
            </a:ext>
          </a:extLst>
        </xdr:cNvPr>
        <xdr:cNvCxnSpPr/>
      </xdr:nvCxnSpPr>
      <xdr:spPr>
        <a:xfrm>
          <a:off x="6656070" y="218941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120</xdr:row>
      <xdr:rowOff>66675</xdr:rowOff>
    </xdr:from>
    <xdr:to>
      <xdr:col>13</xdr:col>
      <xdr:colOff>542925</xdr:colOff>
      <xdr:row>121</xdr:row>
      <xdr:rowOff>76200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886B5EBF-DEC0-4517-92B4-199860A96185}"/>
            </a:ext>
          </a:extLst>
        </xdr:cNvPr>
        <xdr:cNvCxnSpPr/>
      </xdr:nvCxnSpPr>
      <xdr:spPr>
        <a:xfrm flipV="1">
          <a:off x="6657975" y="22250400"/>
          <a:ext cx="5429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121</xdr:row>
      <xdr:rowOff>83820</xdr:rowOff>
    </xdr:from>
    <xdr:to>
      <xdr:col>14</xdr:col>
      <xdr:colOff>7620</xdr:colOff>
      <xdr:row>121</xdr:row>
      <xdr:rowOff>83820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D3B162FE-A0B3-4CE7-BD12-A032389A3508}"/>
            </a:ext>
          </a:extLst>
        </xdr:cNvPr>
        <xdr:cNvCxnSpPr/>
      </xdr:nvCxnSpPr>
      <xdr:spPr>
        <a:xfrm>
          <a:off x="6657975" y="22458045"/>
          <a:ext cx="5695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426720</xdr:colOff>
      <xdr:row>121</xdr:row>
      <xdr:rowOff>91440</xdr:rowOff>
    </xdr:from>
    <xdr:to>
      <xdr:col>14</xdr:col>
      <xdr:colOff>7620</xdr:colOff>
      <xdr:row>122</xdr:row>
      <xdr:rowOff>121920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41B195E9-7CBA-4B3C-87C6-108CC13E2693}"/>
            </a:ext>
          </a:extLst>
        </xdr:cNvPr>
        <xdr:cNvCxnSpPr/>
      </xdr:nvCxnSpPr>
      <xdr:spPr>
        <a:xfrm>
          <a:off x="6656070" y="22465665"/>
          <a:ext cx="5715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66675</xdr:rowOff>
    </xdr:from>
    <xdr:to>
      <xdr:col>15</xdr:col>
      <xdr:colOff>542925</xdr:colOff>
      <xdr:row>17</xdr:row>
      <xdr:rowOff>76200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D5A03E2E-37ED-49FD-A91B-CD24D3D08767}"/>
            </a:ext>
          </a:extLst>
        </xdr:cNvPr>
        <xdr:cNvCxnSpPr/>
      </xdr:nvCxnSpPr>
      <xdr:spPr>
        <a:xfrm flipV="1">
          <a:off x="7620000" y="3124200"/>
          <a:ext cx="5334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17</xdr:row>
      <xdr:rowOff>83820</xdr:rowOff>
    </xdr:from>
    <xdr:to>
      <xdr:col>16</xdr:col>
      <xdr:colOff>7620</xdr:colOff>
      <xdr:row>17</xdr:row>
      <xdr:rowOff>83820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7A25DDB-8C9C-4935-AADA-AFD1F107022E}"/>
            </a:ext>
          </a:extLst>
        </xdr:cNvPr>
        <xdr:cNvCxnSpPr/>
      </xdr:nvCxnSpPr>
      <xdr:spPr>
        <a:xfrm>
          <a:off x="7620000" y="3331845"/>
          <a:ext cx="5410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17</xdr:row>
      <xdr:rowOff>91440</xdr:rowOff>
    </xdr:from>
    <xdr:to>
      <xdr:col>16</xdr:col>
      <xdr:colOff>7620</xdr:colOff>
      <xdr:row>102</xdr:row>
      <xdr:rowOff>121920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E266FA0-81EB-44C1-95B7-698462CA0228}"/>
            </a:ext>
          </a:extLst>
        </xdr:cNvPr>
        <xdr:cNvCxnSpPr/>
      </xdr:nvCxnSpPr>
      <xdr:spPr>
        <a:xfrm>
          <a:off x="7618095" y="3339465"/>
          <a:ext cx="542925" cy="155371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107</xdr:row>
      <xdr:rowOff>66675</xdr:rowOff>
    </xdr:from>
    <xdr:to>
      <xdr:col>15</xdr:col>
      <xdr:colOff>542925</xdr:colOff>
      <xdr:row>108</xdr:row>
      <xdr:rowOff>76200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878C1374-4EDA-47C3-B7D7-34E05189EF99}"/>
            </a:ext>
          </a:extLst>
        </xdr:cNvPr>
        <xdr:cNvCxnSpPr/>
      </xdr:nvCxnSpPr>
      <xdr:spPr>
        <a:xfrm flipV="1">
          <a:off x="7620000" y="19773900"/>
          <a:ext cx="5334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108</xdr:row>
      <xdr:rowOff>83820</xdr:rowOff>
    </xdr:from>
    <xdr:to>
      <xdr:col>16</xdr:col>
      <xdr:colOff>7620</xdr:colOff>
      <xdr:row>108</xdr:row>
      <xdr:rowOff>83820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B6D66669-6690-4682-9493-9D067FDD7033}"/>
            </a:ext>
          </a:extLst>
        </xdr:cNvPr>
        <xdr:cNvCxnSpPr/>
      </xdr:nvCxnSpPr>
      <xdr:spPr>
        <a:xfrm>
          <a:off x="7620000" y="19981545"/>
          <a:ext cx="5410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108</xdr:row>
      <xdr:rowOff>91440</xdr:rowOff>
    </xdr:from>
    <xdr:to>
      <xdr:col>16</xdr:col>
      <xdr:colOff>7620</xdr:colOff>
      <xdr:row>113</xdr:row>
      <xdr:rowOff>121920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F0F13B6D-E910-4EF3-B969-5697C81DBBFD}"/>
            </a:ext>
          </a:extLst>
        </xdr:cNvPr>
        <xdr:cNvCxnSpPr/>
      </xdr:nvCxnSpPr>
      <xdr:spPr>
        <a:xfrm>
          <a:off x="7618095" y="19989165"/>
          <a:ext cx="542925" cy="982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110</xdr:row>
      <xdr:rowOff>66675</xdr:rowOff>
    </xdr:from>
    <xdr:to>
      <xdr:col>17</xdr:col>
      <xdr:colOff>542925</xdr:colOff>
      <xdr:row>113</xdr:row>
      <xdr:rowOff>76200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9644622C-C27F-4814-ADD9-FB6A5C9DDD35}"/>
            </a:ext>
          </a:extLst>
        </xdr:cNvPr>
        <xdr:cNvCxnSpPr/>
      </xdr:nvCxnSpPr>
      <xdr:spPr>
        <a:xfrm flipV="1">
          <a:off x="8553450" y="20345400"/>
          <a:ext cx="51435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113</xdr:row>
      <xdr:rowOff>83820</xdr:rowOff>
    </xdr:from>
    <xdr:to>
      <xdr:col>18</xdr:col>
      <xdr:colOff>7620</xdr:colOff>
      <xdr:row>113</xdr:row>
      <xdr:rowOff>83820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E201E93F-CE26-4695-A2A0-2C8314D47421}"/>
            </a:ext>
          </a:extLst>
        </xdr:cNvPr>
        <xdr:cNvCxnSpPr/>
      </xdr:nvCxnSpPr>
      <xdr:spPr>
        <a:xfrm>
          <a:off x="8553450" y="20934045"/>
          <a:ext cx="5219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426720</xdr:colOff>
      <xdr:row>113</xdr:row>
      <xdr:rowOff>91440</xdr:rowOff>
    </xdr:from>
    <xdr:to>
      <xdr:col>18</xdr:col>
      <xdr:colOff>7620</xdr:colOff>
      <xdr:row>115</xdr:row>
      <xdr:rowOff>121920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478FB5D-0F7D-416D-94BB-A50A62EE6402}"/>
            </a:ext>
          </a:extLst>
        </xdr:cNvPr>
        <xdr:cNvCxnSpPr/>
      </xdr:nvCxnSpPr>
      <xdr:spPr>
        <a:xfrm>
          <a:off x="8551545" y="20941665"/>
          <a:ext cx="523875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447675</xdr:colOff>
      <xdr:row>109</xdr:row>
      <xdr:rowOff>64770</xdr:rowOff>
    </xdr:from>
    <xdr:to>
      <xdr:col>19</xdr:col>
      <xdr:colOff>544830</xdr:colOff>
      <xdr:row>110</xdr:row>
      <xdr:rowOff>66675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FE064B55-ADA0-4EC0-988A-367D0EF3FAAE}"/>
            </a:ext>
          </a:extLst>
        </xdr:cNvPr>
        <xdr:cNvCxnSpPr/>
      </xdr:nvCxnSpPr>
      <xdr:spPr>
        <a:xfrm flipV="1">
          <a:off x="9477375" y="20152995"/>
          <a:ext cx="38290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110</xdr:row>
      <xdr:rowOff>83820</xdr:rowOff>
    </xdr:from>
    <xdr:to>
      <xdr:col>20</xdr:col>
      <xdr:colOff>7620</xdr:colOff>
      <xdr:row>110</xdr:row>
      <xdr:rowOff>83820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8F59BE72-9F92-40BE-AFB1-5E36119FF5CC}"/>
            </a:ext>
          </a:extLst>
        </xdr:cNvPr>
        <xdr:cNvCxnSpPr/>
      </xdr:nvCxnSpPr>
      <xdr:spPr>
        <a:xfrm>
          <a:off x="9477375" y="20362545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110</xdr:row>
      <xdr:rowOff>91440</xdr:rowOff>
    </xdr:from>
    <xdr:to>
      <xdr:col>20</xdr:col>
      <xdr:colOff>7620</xdr:colOff>
      <xdr:row>111</xdr:row>
      <xdr:rowOff>121920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1542401-165A-4485-A928-402B9EE45236}"/>
            </a:ext>
          </a:extLst>
        </xdr:cNvPr>
        <xdr:cNvCxnSpPr/>
      </xdr:nvCxnSpPr>
      <xdr:spPr>
        <a:xfrm>
          <a:off x="9475470" y="20370165"/>
          <a:ext cx="3905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457200</xdr:colOff>
      <xdr:row>112</xdr:row>
      <xdr:rowOff>64770</xdr:rowOff>
    </xdr:from>
    <xdr:to>
      <xdr:col>19</xdr:col>
      <xdr:colOff>544830</xdr:colOff>
      <xdr:row>113</xdr:row>
      <xdr:rowOff>66675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77B5B767-F7E7-4FBB-8EA3-A6DBA0BD5FA3}"/>
            </a:ext>
          </a:extLst>
        </xdr:cNvPr>
        <xdr:cNvCxnSpPr/>
      </xdr:nvCxnSpPr>
      <xdr:spPr>
        <a:xfrm flipV="1">
          <a:off x="9477375" y="20724495"/>
          <a:ext cx="38290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113</xdr:row>
      <xdr:rowOff>83820</xdr:rowOff>
    </xdr:from>
    <xdr:to>
      <xdr:col>20</xdr:col>
      <xdr:colOff>7620</xdr:colOff>
      <xdr:row>113</xdr:row>
      <xdr:rowOff>83820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96071942-EACA-461F-B631-F5CE2AE59456}"/>
            </a:ext>
          </a:extLst>
        </xdr:cNvPr>
        <xdr:cNvCxnSpPr/>
      </xdr:nvCxnSpPr>
      <xdr:spPr>
        <a:xfrm>
          <a:off x="9477375" y="20934045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113</xdr:row>
      <xdr:rowOff>91440</xdr:rowOff>
    </xdr:from>
    <xdr:to>
      <xdr:col>20</xdr:col>
      <xdr:colOff>7620</xdr:colOff>
      <xdr:row>114</xdr:row>
      <xdr:rowOff>121920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93D7F257-5CE4-4CF5-A83D-95645053D47C}"/>
            </a:ext>
          </a:extLst>
        </xdr:cNvPr>
        <xdr:cNvCxnSpPr/>
      </xdr:nvCxnSpPr>
      <xdr:spPr>
        <a:xfrm>
          <a:off x="9475470" y="20941665"/>
          <a:ext cx="3905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64770</xdr:rowOff>
    </xdr:from>
    <xdr:to>
      <xdr:col>18</xdr:col>
      <xdr:colOff>1905</xdr:colOff>
      <xdr:row>102</xdr:row>
      <xdr:rowOff>76200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ADE8A092-0CFB-44D0-B548-0C7D347BC206}"/>
            </a:ext>
          </a:extLst>
        </xdr:cNvPr>
        <xdr:cNvCxnSpPr/>
      </xdr:nvCxnSpPr>
      <xdr:spPr>
        <a:xfrm flipV="1">
          <a:off x="8553450" y="5789295"/>
          <a:ext cx="516255" cy="130416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419100</xdr:colOff>
      <xdr:row>102</xdr:row>
      <xdr:rowOff>83820</xdr:rowOff>
    </xdr:from>
    <xdr:to>
      <xdr:col>18</xdr:col>
      <xdr:colOff>7620</xdr:colOff>
      <xdr:row>102</xdr:row>
      <xdr:rowOff>83820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9C8A79A9-78CF-475D-A25A-63B764352F32}"/>
            </a:ext>
          </a:extLst>
        </xdr:cNvPr>
        <xdr:cNvCxnSpPr/>
      </xdr:nvCxnSpPr>
      <xdr:spPr>
        <a:xfrm>
          <a:off x="8553450" y="18838545"/>
          <a:ext cx="5219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426720</xdr:colOff>
      <xdr:row>102</xdr:row>
      <xdr:rowOff>91440</xdr:rowOff>
    </xdr:from>
    <xdr:to>
      <xdr:col>18</xdr:col>
      <xdr:colOff>7620</xdr:colOff>
      <xdr:row>105</xdr:row>
      <xdr:rowOff>121920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172DA962-FCDC-4ACD-BDCC-C06F1E99EFC8}"/>
            </a:ext>
          </a:extLst>
        </xdr:cNvPr>
        <xdr:cNvCxnSpPr/>
      </xdr:nvCxnSpPr>
      <xdr:spPr>
        <a:xfrm>
          <a:off x="8551545" y="18846165"/>
          <a:ext cx="523875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66675</xdr:rowOff>
    </xdr:from>
    <xdr:to>
      <xdr:col>19</xdr:col>
      <xdr:colOff>542925</xdr:colOff>
      <xdr:row>30</xdr:row>
      <xdr:rowOff>76200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3D679C4C-67A1-435B-BFF5-32D13A93F409}"/>
            </a:ext>
          </a:extLst>
        </xdr:cNvPr>
        <xdr:cNvCxnSpPr/>
      </xdr:nvCxnSpPr>
      <xdr:spPr>
        <a:xfrm flipV="1">
          <a:off x="9477375" y="3505200"/>
          <a:ext cx="381000" cy="2295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30</xdr:row>
      <xdr:rowOff>83820</xdr:rowOff>
    </xdr:from>
    <xdr:to>
      <xdr:col>20</xdr:col>
      <xdr:colOff>7620</xdr:colOff>
      <xdr:row>30</xdr:row>
      <xdr:rowOff>83820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767ECD60-7989-4884-B886-63E0D4A32E0C}"/>
            </a:ext>
          </a:extLst>
        </xdr:cNvPr>
        <xdr:cNvCxnSpPr/>
      </xdr:nvCxnSpPr>
      <xdr:spPr>
        <a:xfrm>
          <a:off x="9477375" y="5808345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30</xdr:row>
      <xdr:rowOff>91440</xdr:rowOff>
    </xdr:from>
    <xdr:to>
      <xdr:col>20</xdr:col>
      <xdr:colOff>7620</xdr:colOff>
      <xdr:row>96</xdr:row>
      <xdr:rowOff>121920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1BBFA4A4-D933-4418-98D2-99F3CDE349E6}"/>
            </a:ext>
          </a:extLst>
        </xdr:cNvPr>
        <xdr:cNvCxnSpPr/>
      </xdr:nvCxnSpPr>
      <xdr:spPr>
        <a:xfrm>
          <a:off x="9475470" y="5815965"/>
          <a:ext cx="390525" cy="11917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101</xdr:row>
      <xdr:rowOff>66675</xdr:rowOff>
    </xdr:from>
    <xdr:to>
      <xdr:col>19</xdr:col>
      <xdr:colOff>542925</xdr:colOff>
      <xdr:row>102</xdr:row>
      <xdr:rowOff>76200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392EC54-4EC4-47A4-AE9F-F1C99AF5EF0A}"/>
            </a:ext>
          </a:extLst>
        </xdr:cNvPr>
        <xdr:cNvCxnSpPr/>
      </xdr:nvCxnSpPr>
      <xdr:spPr>
        <a:xfrm flipV="1">
          <a:off x="9477375" y="18630900"/>
          <a:ext cx="3810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102</xdr:row>
      <xdr:rowOff>83820</xdr:rowOff>
    </xdr:from>
    <xdr:to>
      <xdr:col>20</xdr:col>
      <xdr:colOff>7620</xdr:colOff>
      <xdr:row>102</xdr:row>
      <xdr:rowOff>83820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CC082D09-4109-4486-96E5-35494BBC3A22}"/>
            </a:ext>
          </a:extLst>
        </xdr:cNvPr>
        <xdr:cNvCxnSpPr/>
      </xdr:nvCxnSpPr>
      <xdr:spPr>
        <a:xfrm>
          <a:off x="9477375" y="18838545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102</xdr:row>
      <xdr:rowOff>91440</xdr:rowOff>
    </xdr:from>
    <xdr:to>
      <xdr:col>20</xdr:col>
      <xdr:colOff>7620</xdr:colOff>
      <xdr:row>103</xdr:row>
      <xdr:rowOff>121920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2BCADC49-2989-427E-9914-896B98DA1FE2}"/>
            </a:ext>
          </a:extLst>
        </xdr:cNvPr>
        <xdr:cNvCxnSpPr/>
      </xdr:nvCxnSpPr>
      <xdr:spPr>
        <a:xfrm>
          <a:off x="9475470" y="18846165"/>
          <a:ext cx="3905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104</xdr:row>
      <xdr:rowOff>66675</xdr:rowOff>
    </xdr:from>
    <xdr:to>
      <xdr:col>19</xdr:col>
      <xdr:colOff>542925</xdr:colOff>
      <xdr:row>105</xdr:row>
      <xdr:rowOff>76200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C6F34F68-DD06-48B3-B660-7C7802B28073}"/>
            </a:ext>
          </a:extLst>
        </xdr:cNvPr>
        <xdr:cNvCxnSpPr/>
      </xdr:nvCxnSpPr>
      <xdr:spPr>
        <a:xfrm flipV="1">
          <a:off x="9477375" y="19202400"/>
          <a:ext cx="3810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105</xdr:row>
      <xdr:rowOff>83820</xdr:rowOff>
    </xdr:from>
    <xdr:to>
      <xdr:col>20</xdr:col>
      <xdr:colOff>7620</xdr:colOff>
      <xdr:row>105</xdr:row>
      <xdr:rowOff>83820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39024FFD-70D6-4893-BDA4-D15326FCE36D}"/>
            </a:ext>
          </a:extLst>
        </xdr:cNvPr>
        <xdr:cNvCxnSpPr/>
      </xdr:nvCxnSpPr>
      <xdr:spPr>
        <a:xfrm>
          <a:off x="9477375" y="19410045"/>
          <a:ext cx="388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105</xdr:row>
      <xdr:rowOff>91440</xdr:rowOff>
    </xdr:from>
    <xdr:to>
      <xdr:col>20</xdr:col>
      <xdr:colOff>7620</xdr:colOff>
      <xdr:row>106</xdr:row>
      <xdr:rowOff>121920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228CC2D8-8CB1-4C1E-BF2E-5B1EA73596A5}"/>
            </a:ext>
          </a:extLst>
        </xdr:cNvPr>
        <xdr:cNvCxnSpPr/>
      </xdr:nvCxnSpPr>
      <xdr:spPr>
        <a:xfrm>
          <a:off x="9475470" y="19417665"/>
          <a:ext cx="3905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447675</xdr:colOff>
      <xdr:row>20</xdr:row>
      <xdr:rowOff>64770</xdr:rowOff>
    </xdr:from>
    <xdr:to>
      <xdr:col>21</xdr:col>
      <xdr:colOff>544830</xdr:colOff>
      <xdr:row>30</xdr:row>
      <xdr:rowOff>66675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921D9E28-982E-46BB-8A6F-2A3B08D40470}"/>
            </a:ext>
          </a:extLst>
        </xdr:cNvPr>
        <xdr:cNvCxnSpPr/>
      </xdr:nvCxnSpPr>
      <xdr:spPr>
        <a:xfrm flipV="1">
          <a:off x="10277475" y="3884295"/>
          <a:ext cx="440055" cy="1906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419100</xdr:colOff>
      <xdr:row>30</xdr:row>
      <xdr:rowOff>83820</xdr:rowOff>
    </xdr:from>
    <xdr:to>
      <xdr:col>22</xdr:col>
      <xdr:colOff>7620</xdr:colOff>
      <xdr:row>30</xdr:row>
      <xdr:rowOff>83820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63062F04-2014-444F-A8B9-F0CA6F1AF029}"/>
            </a:ext>
          </a:extLst>
        </xdr:cNvPr>
        <xdr:cNvCxnSpPr/>
      </xdr:nvCxnSpPr>
      <xdr:spPr>
        <a:xfrm>
          <a:off x="10277475" y="5808345"/>
          <a:ext cx="4457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426720</xdr:colOff>
      <xdr:row>30</xdr:row>
      <xdr:rowOff>91440</xdr:rowOff>
    </xdr:from>
    <xdr:to>
      <xdr:col>22</xdr:col>
      <xdr:colOff>7620</xdr:colOff>
      <xdr:row>58</xdr:row>
      <xdr:rowOff>121920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C1247F49-B9ED-4962-AA7B-07A726154CE0}"/>
            </a:ext>
          </a:extLst>
        </xdr:cNvPr>
        <xdr:cNvCxnSpPr/>
      </xdr:nvCxnSpPr>
      <xdr:spPr>
        <a:xfrm>
          <a:off x="10275570" y="5815965"/>
          <a:ext cx="447675" cy="5364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447675</xdr:colOff>
      <xdr:row>93</xdr:row>
      <xdr:rowOff>64770</xdr:rowOff>
    </xdr:from>
    <xdr:to>
      <xdr:col>21</xdr:col>
      <xdr:colOff>544830</xdr:colOff>
      <xdr:row>96</xdr:row>
      <xdr:rowOff>66675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5480F72-BD07-4F20-AEEC-4DFCC304A172}"/>
            </a:ext>
          </a:extLst>
        </xdr:cNvPr>
        <xdr:cNvCxnSpPr/>
      </xdr:nvCxnSpPr>
      <xdr:spPr>
        <a:xfrm flipV="1">
          <a:off x="10277475" y="17104995"/>
          <a:ext cx="440055" cy="573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419100</xdr:colOff>
      <xdr:row>96</xdr:row>
      <xdr:rowOff>83820</xdr:rowOff>
    </xdr:from>
    <xdr:to>
      <xdr:col>22</xdr:col>
      <xdr:colOff>7620</xdr:colOff>
      <xdr:row>96</xdr:row>
      <xdr:rowOff>83820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7845D394-32F6-4285-87EA-E33A2AE03EF0}"/>
            </a:ext>
          </a:extLst>
        </xdr:cNvPr>
        <xdr:cNvCxnSpPr/>
      </xdr:nvCxnSpPr>
      <xdr:spPr>
        <a:xfrm>
          <a:off x="10277475" y="17695545"/>
          <a:ext cx="4457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426720</xdr:colOff>
      <xdr:row>96</xdr:row>
      <xdr:rowOff>91440</xdr:rowOff>
    </xdr:from>
    <xdr:to>
      <xdr:col>22</xdr:col>
      <xdr:colOff>7620</xdr:colOff>
      <xdr:row>99</xdr:row>
      <xdr:rowOff>121920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2F1AC21A-9F7F-41FD-A5B1-DF2684B9CD88}"/>
            </a:ext>
          </a:extLst>
        </xdr:cNvPr>
        <xdr:cNvCxnSpPr/>
      </xdr:nvCxnSpPr>
      <xdr:spPr>
        <a:xfrm>
          <a:off x="10275570" y="17703165"/>
          <a:ext cx="447675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19</xdr:row>
      <xdr:rowOff>64770</xdr:rowOff>
    </xdr:from>
    <xdr:to>
      <xdr:col>23</xdr:col>
      <xdr:colOff>544830</xdr:colOff>
      <xdr:row>20</xdr:row>
      <xdr:rowOff>66675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491B6C0-047E-434D-BF9B-A4F3E4AB7894}"/>
            </a:ext>
          </a:extLst>
        </xdr:cNvPr>
        <xdr:cNvCxnSpPr/>
      </xdr:nvCxnSpPr>
      <xdr:spPr>
        <a:xfrm flipV="1">
          <a:off x="11163300" y="3693795"/>
          <a:ext cx="5829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20</xdr:row>
      <xdr:rowOff>83820</xdr:rowOff>
    </xdr:from>
    <xdr:to>
      <xdr:col>24</xdr:col>
      <xdr:colOff>7620</xdr:colOff>
      <xdr:row>20</xdr:row>
      <xdr:rowOff>83820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9252BC22-0601-42AF-92F6-8415D0E2DA08}"/>
            </a:ext>
          </a:extLst>
        </xdr:cNvPr>
        <xdr:cNvCxnSpPr/>
      </xdr:nvCxnSpPr>
      <xdr:spPr>
        <a:xfrm>
          <a:off x="11134725" y="39033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20</xdr:row>
      <xdr:rowOff>91440</xdr:rowOff>
    </xdr:from>
    <xdr:to>
      <xdr:col>24</xdr:col>
      <xdr:colOff>7620</xdr:colOff>
      <xdr:row>21</xdr:row>
      <xdr:rowOff>121920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9425CC52-DE9C-44E0-8779-A8126CC6F769}"/>
            </a:ext>
          </a:extLst>
        </xdr:cNvPr>
        <xdr:cNvCxnSpPr/>
      </xdr:nvCxnSpPr>
      <xdr:spPr>
        <a:xfrm>
          <a:off x="11142345" y="3910965"/>
          <a:ext cx="6096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23</xdr:row>
      <xdr:rowOff>64770</xdr:rowOff>
    </xdr:from>
    <xdr:to>
      <xdr:col>24</xdr:col>
      <xdr:colOff>3876</xdr:colOff>
      <xdr:row>30</xdr:row>
      <xdr:rowOff>66675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23A4EC33-F3FC-49E1-A02B-C2613EB6F585}"/>
            </a:ext>
          </a:extLst>
        </xdr:cNvPr>
        <xdr:cNvCxnSpPr/>
      </xdr:nvCxnSpPr>
      <xdr:spPr>
        <a:xfrm flipV="1">
          <a:off x="11174796" y="4452839"/>
          <a:ext cx="580959" cy="1335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30</xdr:row>
      <xdr:rowOff>83820</xdr:rowOff>
    </xdr:from>
    <xdr:to>
      <xdr:col>24</xdr:col>
      <xdr:colOff>7620</xdr:colOff>
      <xdr:row>30</xdr:row>
      <xdr:rowOff>83820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F01BC60E-FBF8-4485-BAE1-9979226BAB17}"/>
            </a:ext>
          </a:extLst>
        </xdr:cNvPr>
        <xdr:cNvCxnSpPr/>
      </xdr:nvCxnSpPr>
      <xdr:spPr>
        <a:xfrm>
          <a:off x="11134725" y="58083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30</xdr:row>
      <xdr:rowOff>91440</xdr:rowOff>
    </xdr:from>
    <xdr:to>
      <xdr:col>24</xdr:col>
      <xdr:colOff>7620</xdr:colOff>
      <xdr:row>43</xdr:row>
      <xdr:rowOff>121920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4AA0041D-E42A-4FBE-BAF8-70842B50657A}"/>
            </a:ext>
          </a:extLst>
        </xdr:cNvPr>
        <xdr:cNvCxnSpPr/>
      </xdr:nvCxnSpPr>
      <xdr:spPr>
        <a:xfrm>
          <a:off x="11142345" y="5815965"/>
          <a:ext cx="609600" cy="2506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47</xdr:row>
      <xdr:rowOff>64770</xdr:rowOff>
    </xdr:from>
    <xdr:to>
      <xdr:col>23</xdr:col>
      <xdr:colOff>544830</xdr:colOff>
      <xdr:row>58</xdr:row>
      <xdr:rowOff>66675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F9DABB6F-4B31-46AD-9DDA-5240231C3FE6}"/>
            </a:ext>
          </a:extLst>
        </xdr:cNvPr>
        <xdr:cNvCxnSpPr/>
      </xdr:nvCxnSpPr>
      <xdr:spPr>
        <a:xfrm flipV="1">
          <a:off x="11163300" y="9027795"/>
          <a:ext cx="582930" cy="2097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58</xdr:row>
      <xdr:rowOff>83820</xdr:rowOff>
    </xdr:from>
    <xdr:to>
      <xdr:col>24</xdr:col>
      <xdr:colOff>7620</xdr:colOff>
      <xdr:row>58</xdr:row>
      <xdr:rowOff>83820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D9DBA4C4-E8A9-4588-8813-9D3ED20FFB2E}"/>
            </a:ext>
          </a:extLst>
        </xdr:cNvPr>
        <xdr:cNvCxnSpPr/>
      </xdr:nvCxnSpPr>
      <xdr:spPr>
        <a:xfrm>
          <a:off x="11134725" y="111423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58</xdr:row>
      <xdr:rowOff>91440</xdr:rowOff>
    </xdr:from>
    <xdr:to>
      <xdr:col>24</xdr:col>
      <xdr:colOff>7620</xdr:colOff>
      <xdr:row>87</xdr:row>
      <xdr:rowOff>121920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2E6449CB-EAF6-4E5E-BEA4-A97ABE109518}"/>
            </a:ext>
          </a:extLst>
        </xdr:cNvPr>
        <xdr:cNvCxnSpPr/>
      </xdr:nvCxnSpPr>
      <xdr:spPr>
        <a:xfrm>
          <a:off x="11142345" y="11149965"/>
          <a:ext cx="609600" cy="4983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92</xdr:row>
      <xdr:rowOff>64770</xdr:rowOff>
    </xdr:from>
    <xdr:to>
      <xdr:col>23</xdr:col>
      <xdr:colOff>544830</xdr:colOff>
      <xdr:row>93</xdr:row>
      <xdr:rowOff>66675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5DAA580-32FD-4C5C-82CB-34BE951019C5}"/>
            </a:ext>
          </a:extLst>
        </xdr:cNvPr>
        <xdr:cNvCxnSpPr/>
      </xdr:nvCxnSpPr>
      <xdr:spPr>
        <a:xfrm flipV="1">
          <a:off x="11163300" y="16933545"/>
          <a:ext cx="58293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93</xdr:row>
      <xdr:rowOff>83820</xdr:rowOff>
    </xdr:from>
    <xdr:to>
      <xdr:col>24</xdr:col>
      <xdr:colOff>7620</xdr:colOff>
      <xdr:row>93</xdr:row>
      <xdr:rowOff>83820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F2460165-B115-43E6-B519-7520DB633FE8}"/>
            </a:ext>
          </a:extLst>
        </xdr:cNvPr>
        <xdr:cNvCxnSpPr/>
      </xdr:nvCxnSpPr>
      <xdr:spPr>
        <a:xfrm>
          <a:off x="11134725" y="171240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93</xdr:row>
      <xdr:rowOff>91440</xdr:rowOff>
    </xdr:from>
    <xdr:to>
      <xdr:col>24</xdr:col>
      <xdr:colOff>7620</xdr:colOff>
      <xdr:row>94</xdr:row>
      <xdr:rowOff>121920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8D48A09B-D238-43F5-921E-A9AE993A00AE}"/>
            </a:ext>
          </a:extLst>
        </xdr:cNvPr>
        <xdr:cNvCxnSpPr/>
      </xdr:nvCxnSpPr>
      <xdr:spPr>
        <a:xfrm>
          <a:off x="11142345" y="17131665"/>
          <a:ext cx="6096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95</xdr:row>
      <xdr:rowOff>64770</xdr:rowOff>
    </xdr:from>
    <xdr:to>
      <xdr:col>23</xdr:col>
      <xdr:colOff>544830</xdr:colOff>
      <xdr:row>96</xdr:row>
      <xdr:rowOff>66675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41075793-DC1D-419C-AEF6-911A9049CB5A}"/>
            </a:ext>
          </a:extLst>
        </xdr:cNvPr>
        <xdr:cNvCxnSpPr/>
      </xdr:nvCxnSpPr>
      <xdr:spPr>
        <a:xfrm flipV="1">
          <a:off x="11163300" y="17485995"/>
          <a:ext cx="5829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96</xdr:row>
      <xdr:rowOff>83820</xdr:rowOff>
    </xdr:from>
    <xdr:to>
      <xdr:col>24</xdr:col>
      <xdr:colOff>7620</xdr:colOff>
      <xdr:row>96</xdr:row>
      <xdr:rowOff>83820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CA9012D5-2EB7-4102-808D-08FA7FDA214C}"/>
            </a:ext>
          </a:extLst>
        </xdr:cNvPr>
        <xdr:cNvCxnSpPr/>
      </xdr:nvCxnSpPr>
      <xdr:spPr>
        <a:xfrm>
          <a:off x="11134725" y="176955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96</xdr:row>
      <xdr:rowOff>91440</xdr:rowOff>
    </xdr:from>
    <xdr:to>
      <xdr:col>24</xdr:col>
      <xdr:colOff>7620</xdr:colOff>
      <xdr:row>97</xdr:row>
      <xdr:rowOff>121920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6A1F9EE-10AE-403F-8F17-5D7F214F02B5}"/>
            </a:ext>
          </a:extLst>
        </xdr:cNvPr>
        <xdr:cNvCxnSpPr/>
      </xdr:nvCxnSpPr>
      <xdr:spPr>
        <a:xfrm>
          <a:off x="11142345" y="17703165"/>
          <a:ext cx="6096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447675</xdr:colOff>
      <xdr:row>98</xdr:row>
      <xdr:rowOff>64770</xdr:rowOff>
    </xdr:from>
    <xdr:to>
      <xdr:col>23</xdr:col>
      <xdr:colOff>544830</xdr:colOff>
      <xdr:row>99</xdr:row>
      <xdr:rowOff>66675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F25EA93F-20C0-4FF0-BFDA-19DEE5286106}"/>
            </a:ext>
          </a:extLst>
        </xdr:cNvPr>
        <xdr:cNvCxnSpPr/>
      </xdr:nvCxnSpPr>
      <xdr:spPr>
        <a:xfrm flipV="1">
          <a:off x="11163300" y="18057495"/>
          <a:ext cx="58293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419100</xdr:colOff>
      <xdr:row>99</xdr:row>
      <xdr:rowOff>83820</xdr:rowOff>
    </xdr:from>
    <xdr:to>
      <xdr:col>24</xdr:col>
      <xdr:colOff>7620</xdr:colOff>
      <xdr:row>99</xdr:row>
      <xdr:rowOff>83820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EFBF9FF0-9C43-4129-874B-CA0D8DB4A0D6}"/>
            </a:ext>
          </a:extLst>
        </xdr:cNvPr>
        <xdr:cNvCxnSpPr/>
      </xdr:nvCxnSpPr>
      <xdr:spPr>
        <a:xfrm>
          <a:off x="11134725" y="18267045"/>
          <a:ext cx="617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99</xdr:row>
      <xdr:rowOff>91440</xdr:rowOff>
    </xdr:from>
    <xdr:to>
      <xdr:col>24</xdr:col>
      <xdr:colOff>7620</xdr:colOff>
      <xdr:row>100</xdr:row>
      <xdr:rowOff>121920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FC7CF895-3FF9-4F64-970B-81DD2DBE7BD2}"/>
            </a:ext>
          </a:extLst>
        </xdr:cNvPr>
        <xdr:cNvCxnSpPr/>
      </xdr:nvCxnSpPr>
      <xdr:spPr>
        <a:xfrm>
          <a:off x="11142345" y="18274665"/>
          <a:ext cx="6096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22</xdr:row>
      <xdr:rowOff>64770</xdr:rowOff>
    </xdr:from>
    <xdr:to>
      <xdr:col>25</xdr:col>
      <xdr:colOff>544830</xdr:colOff>
      <xdr:row>23</xdr:row>
      <xdr:rowOff>66675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EAF0E14B-FD5E-48A3-86A0-7DE80FE24AA6}"/>
            </a:ext>
          </a:extLst>
        </xdr:cNvPr>
        <xdr:cNvCxnSpPr/>
      </xdr:nvCxnSpPr>
      <xdr:spPr>
        <a:xfrm flipV="1">
          <a:off x="12163425" y="4265295"/>
          <a:ext cx="4876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23</xdr:row>
      <xdr:rowOff>83820</xdr:rowOff>
    </xdr:from>
    <xdr:to>
      <xdr:col>26</xdr:col>
      <xdr:colOff>7620</xdr:colOff>
      <xdr:row>23</xdr:row>
      <xdr:rowOff>83820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56CE116E-926E-4F6E-BE8B-38AB9EDC21A2}"/>
            </a:ext>
          </a:extLst>
        </xdr:cNvPr>
        <xdr:cNvCxnSpPr/>
      </xdr:nvCxnSpPr>
      <xdr:spPr>
        <a:xfrm>
          <a:off x="12163425" y="44748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23</xdr:row>
      <xdr:rowOff>91440</xdr:rowOff>
    </xdr:from>
    <xdr:to>
      <xdr:col>26</xdr:col>
      <xdr:colOff>7620</xdr:colOff>
      <xdr:row>25</xdr:row>
      <xdr:rowOff>121920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625F6F3B-E137-48CE-92F5-AA1296FFD7EC}"/>
            </a:ext>
          </a:extLst>
        </xdr:cNvPr>
        <xdr:cNvCxnSpPr/>
      </xdr:nvCxnSpPr>
      <xdr:spPr>
        <a:xfrm>
          <a:off x="12161520" y="4482465"/>
          <a:ext cx="49530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29</xdr:row>
      <xdr:rowOff>64770</xdr:rowOff>
    </xdr:from>
    <xdr:to>
      <xdr:col>25</xdr:col>
      <xdr:colOff>544830</xdr:colOff>
      <xdr:row>30</xdr:row>
      <xdr:rowOff>66675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421F83B0-8098-4E8C-8BB0-8F84442F497A}"/>
            </a:ext>
          </a:extLst>
        </xdr:cNvPr>
        <xdr:cNvCxnSpPr/>
      </xdr:nvCxnSpPr>
      <xdr:spPr>
        <a:xfrm flipV="1">
          <a:off x="12163425" y="5598795"/>
          <a:ext cx="4876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30</xdr:row>
      <xdr:rowOff>83820</xdr:rowOff>
    </xdr:from>
    <xdr:to>
      <xdr:col>26</xdr:col>
      <xdr:colOff>7620</xdr:colOff>
      <xdr:row>30</xdr:row>
      <xdr:rowOff>83820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D826DDB0-FDC4-42F3-8D06-192A2865A5E8}"/>
            </a:ext>
          </a:extLst>
        </xdr:cNvPr>
        <xdr:cNvCxnSpPr/>
      </xdr:nvCxnSpPr>
      <xdr:spPr>
        <a:xfrm>
          <a:off x="12163425" y="58083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30</xdr:row>
      <xdr:rowOff>91440</xdr:rowOff>
    </xdr:from>
    <xdr:to>
      <xdr:col>26</xdr:col>
      <xdr:colOff>7620</xdr:colOff>
      <xdr:row>32</xdr:row>
      <xdr:rowOff>121920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1BCAE613-7FC1-41F7-9C84-5EF3AA89E32D}"/>
            </a:ext>
          </a:extLst>
        </xdr:cNvPr>
        <xdr:cNvCxnSpPr/>
      </xdr:nvCxnSpPr>
      <xdr:spPr>
        <a:xfrm>
          <a:off x="12161520" y="5815965"/>
          <a:ext cx="49530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42</xdr:row>
      <xdr:rowOff>64770</xdr:rowOff>
    </xdr:from>
    <xdr:to>
      <xdr:col>25</xdr:col>
      <xdr:colOff>544830</xdr:colOff>
      <xdr:row>43</xdr:row>
      <xdr:rowOff>66675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34522EDC-B789-4476-AEFA-45B37BA9C131}"/>
            </a:ext>
          </a:extLst>
        </xdr:cNvPr>
        <xdr:cNvCxnSpPr/>
      </xdr:nvCxnSpPr>
      <xdr:spPr>
        <a:xfrm flipV="1">
          <a:off x="12163425" y="8075295"/>
          <a:ext cx="4876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43</xdr:row>
      <xdr:rowOff>83820</xdr:rowOff>
    </xdr:from>
    <xdr:to>
      <xdr:col>26</xdr:col>
      <xdr:colOff>7620</xdr:colOff>
      <xdr:row>43</xdr:row>
      <xdr:rowOff>83820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C38DDB44-09CB-4FB9-9AEE-74A7A5C22276}"/>
            </a:ext>
          </a:extLst>
        </xdr:cNvPr>
        <xdr:cNvCxnSpPr/>
      </xdr:nvCxnSpPr>
      <xdr:spPr>
        <a:xfrm>
          <a:off x="12163425" y="82848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43</xdr:row>
      <xdr:rowOff>91440</xdr:rowOff>
    </xdr:from>
    <xdr:to>
      <xdr:col>26</xdr:col>
      <xdr:colOff>7620</xdr:colOff>
      <xdr:row>44</xdr:row>
      <xdr:rowOff>121920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9E75AE4B-8B8C-42A0-B837-D4EBAEBDC8FA}"/>
            </a:ext>
          </a:extLst>
        </xdr:cNvPr>
        <xdr:cNvCxnSpPr/>
      </xdr:nvCxnSpPr>
      <xdr:spPr>
        <a:xfrm>
          <a:off x="12161520" y="8292465"/>
          <a:ext cx="4953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447675</xdr:colOff>
      <xdr:row>24</xdr:row>
      <xdr:rowOff>64770</xdr:rowOff>
    </xdr:from>
    <xdr:to>
      <xdr:col>27</xdr:col>
      <xdr:colOff>544830</xdr:colOff>
      <xdr:row>25</xdr:row>
      <xdr:rowOff>66675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C65E769D-B188-454F-91BB-E2C91D73F9FF}"/>
            </a:ext>
          </a:extLst>
        </xdr:cNvPr>
        <xdr:cNvCxnSpPr/>
      </xdr:nvCxnSpPr>
      <xdr:spPr>
        <a:xfrm flipV="1">
          <a:off x="13039725" y="4646295"/>
          <a:ext cx="3733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25</xdr:row>
      <xdr:rowOff>83820</xdr:rowOff>
    </xdr:from>
    <xdr:to>
      <xdr:col>28</xdr:col>
      <xdr:colOff>7620</xdr:colOff>
      <xdr:row>25</xdr:row>
      <xdr:rowOff>83820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712D4D00-AC83-4038-9A97-7330E4943E8D}"/>
            </a:ext>
          </a:extLst>
        </xdr:cNvPr>
        <xdr:cNvCxnSpPr/>
      </xdr:nvCxnSpPr>
      <xdr:spPr>
        <a:xfrm>
          <a:off x="13039725" y="48558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25</xdr:row>
      <xdr:rowOff>91440</xdr:rowOff>
    </xdr:from>
    <xdr:to>
      <xdr:col>28</xdr:col>
      <xdr:colOff>7620</xdr:colOff>
      <xdr:row>27</xdr:row>
      <xdr:rowOff>121920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1F5F82AF-FBAC-400D-BFCE-3566C5A44782}"/>
            </a:ext>
          </a:extLst>
        </xdr:cNvPr>
        <xdr:cNvCxnSpPr/>
      </xdr:nvCxnSpPr>
      <xdr:spPr>
        <a:xfrm>
          <a:off x="13037820" y="4863465"/>
          <a:ext cx="38100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26</xdr:row>
      <xdr:rowOff>64770</xdr:rowOff>
    </xdr:from>
    <xdr:to>
      <xdr:col>29</xdr:col>
      <xdr:colOff>544830</xdr:colOff>
      <xdr:row>27</xdr:row>
      <xdr:rowOff>66675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964F2A7E-B33F-4709-9E62-FD5073643984}"/>
            </a:ext>
          </a:extLst>
        </xdr:cNvPr>
        <xdr:cNvCxnSpPr/>
      </xdr:nvCxnSpPr>
      <xdr:spPr>
        <a:xfrm flipV="1">
          <a:off x="13830300" y="5027295"/>
          <a:ext cx="4495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27</xdr:row>
      <xdr:rowOff>83820</xdr:rowOff>
    </xdr:from>
    <xdr:to>
      <xdr:col>30</xdr:col>
      <xdr:colOff>7620</xdr:colOff>
      <xdr:row>27</xdr:row>
      <xdr:rowOff>83820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E5306EE5-2B47-4572-97B4-C1E767DAB26A}"/>
            </a:ext>
          </a:extLst>
        </xdr:cNvPr>
        <xdr:cNvCxnSpPr/>
      </xdr:nvCxnSpPr>
      <xdr:spPr>
        <a:xfrm>
          <a:off x="13830300" y="523684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27</xdr:row>
      <xdr:rowOff>91440</xdr:rowOff>
    </xdr:from>
    <xdr:to>
      <xdr:col>30</xdr:col>
      <xdr:colOff>7620</xdr:colOff>
      <xdr:row>28</xdr:row>
      <xdr:rowOff>121920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2502B4D3-3B5A-4F1A-91D1-71712317352E}"/>
            </a:ext>
          </a:extLst>
        </xdr:cNvPr>
        <xdr:cNvCxnSpPr/>
      </xdr:nvCxnSpPr>
      <xdr:spPr>
        <a:xfrm>
          <a:off x="13828395" y="5244465"/>
          <a:ext cx="4572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447675</xdr:colOff>
      <xdr:row>31</xdr:row>
      <xdr:rowOff>64770</xdr:rowOff>
    </xdr:from>
    <xdr:to>
      <xdr:col>27</xdr:col>
      <xdr:colOff>544830</xdr:colOff>
      <xdr:row>32</xdr:row>
      <xdr:rowOff>66675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FF14714D-338F-4AF0-AADE-AF884DFF1267}"/>
            </a:ext>
          </a:extLst>
        </xdr:cNvPr>
        <xdr:cNvCxnSpPr/>
      </xdr:nvCxnSpPr>
      <xdr:spPr>
        <a:xfrm flipV="1">
          <a:off x="13039725" y="5979795"/>
          <a:ext cx="3733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32</xdr:row>
      <xdr:rowOff>83820</xdr:rowOff>
    </xdr:from>
    <xdr:to>
      <xdr:col>28</xdr:col>
      <xdr:colOff>7620</xdr:colOff>
      <xdr:row>32</xdr:row>
      <xdr:rowOff>83820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D0DBA0C6-2333-45E1-904B-675366085C40}"/>
            </a:ext>
          </a:extLst>
        </xdr:cNvPr>
        <xdr:cNvCxnSpPr/>
      </xdr:nvCxnSpPr>
      <xdr:spPr>
        <a:xfrm>
          <a:off x="13039725" y="61893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32</xdr:row>
      <xdr:rowOff>91440</xdr:rowOff>
    </xdr:from>
    <xdr:to>
      <xdr:col>28</xdr:col>
      <xdr:colOff>7620</xdr:colOff>
      <xdr:row>37</xdr:row>
      <xdr:rowOff>121920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143757BB-9500-48D1-9920-7AF994F72C29}"/>
            </a:ext>
          </a:extLst>
        </xdr:cNvPr>
        <xdr:cNvCxnSpPr/>
      </xdr:nvCxnSpPr>
      <xdr:spPr>
        <a:xfrm>
          <a:off x="13037820" y="6196965"/>
          <a:ext cx="381000" cy="982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34</xdr:row>
      <xdr:rowOff>64770</xdr:rowOff>
    </xdr:from>
    <xdr:to>
      <xdr:col>29</xdr:col>
      <xdr:colOff>544830</xdr:colOff>
      <xdr:row>37</xdr:row>
      <xdr:rowOff>66675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CAD1F922-80D3-491F-9234-0EC101246795}"/>
            </a:ext>
          </a:extLst>
        </xdr:cNvPr>
        <xdr:cNvCxnSpPr/>
      </xdr:nvCxnSpPr>
      <xdr:spPr>
        <a:xfrm flipV="1">
          <a:off x="13830300" y="6551295"/>
          <a:ext cx="449580" cy="573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37</xdr:row>
      <xdr:rowOff>83820</xdr:rowOff>
    </xdr:from>
    <xdr:to>
      <xdr:col>30</xdr:col>
      <xdr:colOff>7620</xdr:colOff>
      <xdr:row>37</xdr:row>
      <xdr:rowOff>83820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911F80BC-4B39-4EFC-94C3-247CF2E8B616}"/>
            </a:ext>
          </a:extLst>
        </xdr:cNvPr>
        <xdr:cNvCxnSpPr/>
      </xdr:nvCxnSpPr>
      <xdr:spPr>
        <a:xfrm>
          <a:off x="13830300" y="714184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37</xdr:row>
      <xdr:rowOff>91440</xdr:rowOff>
    </xdr:from>
    <xdr:to>
      <xdr:col>30</xdr:col>
      <xdr:colOff>7620</xdr:colOff>
      <xdr:row>40</xdr:row>
      <xdr:rowOff>121920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871A9DEB-4562-48AF-9403-AC52A7AFAA04}"/>
            </a:ext>
          </a:extLst>
        </xdr:cNvPr>
        <xdr:cNvCxnSpPr/>
      </xdr:nvCxnSpPr>
      <xdr:spPr>
        <a:xfrm>
          <a:off x="13828395" y="7149465"/>
          <a:ext cx="45720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33</xdr:row>
      <xdr:rowOff>64770</xdr:rowOff>
    </xdr:from>
    <xdr:to>
      <xdr:col>31</xdr:col>
      <xdr:colOff>544830</xdr:colOff>
      <xdr:row>34</xdr:row>
      <xdr:rowOff>66675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4C34500-F533-4845-9595-F113B21CD0B8}"/>
            </a:ext>
          </a:extLst>
        </xdr:cNvPr>
        <xdr:cNvCxnSpPr/>
      </xdr:nvCxnSpPr>
      <xdr:spPr>
        <a:xfrm flipV="1">
          <a:off x="14687550" y="6360795"/>
          <a:ext cx="45910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34</xdr:row>
      <xdr:rowOff>83820</xdr:rowOff>
    </xdr:from>
    <xdr:to>
      <xdr:col>32</xdr:col>
      <xdr:colOff>7620</xdr:colOff>
      <xdr:row>34</xdr:row>
      <xdr:rowOff>83820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6EE16A54-91AF-4983-A3A6-CB1660D2E498}"/>
            </a:ext>
          </a:extLst>
        </xdr:cNvPr>
        <xdr:cNvCxnSpPr/>
      </xdr:nvCxnSpPr>
      <xdr:spPr>
        <a:xfrm>
          <a:off x="14687550" y="657034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34</xdr:row>
      <xdr:rowOff>91440</xdr:rowOff>
    </xdr:from>
    <xdr:to>
      <xdr:col>32</xdr:col>
      <xdr:colOff>7620</xdr:colOff>
      <xdr:row>35</xdr:row>
      <xdr:rowOff>121920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39375254-A10D-48DF-9F82-A2CD946D887D}"/>
            </a:ext>
          </a:extLst>
        </xdr:cNvPr>
        <xdr:cNvCxnSpPr/>
      </xdr:nvCxnSpPr>
      <xdr:spPr>
        <a:xfrm>
          <a:off x="14685645" y="6577965"/>
          <a:ext cx="4667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36</xdr:row>
      <xdr:rowOff>64770</xdr:rowOff>
    </xdr:from>
    <xdr:to>
      <xdr:col>31</xdr:col>
      <xdr:colOff>544830</xdr:colOff>
      <xdr:row>37</xdr:row>
      <xdr:rowOff>66675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27755A18-DF91-4ACB-8472-D72A71137CD0}"/>
            </a:ext>
          </a:extLst>
        </xdr:cNvPr>
        <xdr:cNvCxnSpPr/>
      </xdr:nvCxnSpPr>
      <xdr:spPr>
        <a:xfrm flipV="1">
          <a:off x="14687550" y="6932295"/>
          <a:ext cx="45910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37</xdr:row>
      <xdr:rowOff>83820</xdr:rowOff>
    </xdr:from>
    <xdr:to>
      <xdr:col>32</xdr:col>
      <xdr:colOff>7620</xdr:colOff>
      <xdr:row>37</xdr:row>
      <xdr:rowOff>83820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A772DD60-5D24-4610-BC84-6FC648B43A6A}"/>
            </a:ext>
          </a:extLst>
        </xdr:cNvPr>
        <xdr:cNvCxnSpPr/>
      </xdr:nvCxnSpPr>
      <xdr:spPr>
        <a:xfrm>
          <a:off x="14687550" y="714184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37</xdr:row>
      <xdr:rowOff>91440</xdr:rowOff>
    </xdr:from>
    <xdr:to>
      <xdr:col>32</xdr:col>
      <xdr:colOff>7620</xdr:colOff>
      <xdr:row>38</xdr:row>
      <xdr:rowOff>121920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102F7E04-8AF1-4E88-AAF5-997C83DFD741}"/>
            </a:ext>
          </a:extLst>
        </xdr:cNvPr>
        <xdr:cNvCxnSpPr/>
      </xdr:nvCxnSpPr>
      <xdr:spPr>
        <a:xfrm>
          <a:off x="14685645" y="7149465"/>
          <a:ext cx="4667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447675</xdr:colOff>
      <xdr:row>39</xdr:row>
      <xdr:rowOff>64770</xdr:rowOff>
    </xdr:from>
    <xdr:to>
      <xdr:col>31</xdr:col>
      <xdr:colOff>544830</xdr:colOff>
      <xdr:row>40</xdr:row>
      <xdr:rowOff>66675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C78BE7C9-39AB-4403-B431-AF304F46117A}"/>
            </a:ext>
          </a:extLst>
        </xdr:cNvPr>
        <xdr:cNvCxnSpPr/>
      </xdr:nvCxnSpPr>
      <xdr:spPr>
        <a:xfrm flipV="1">
          <a:off x="14687550" y="7503795"/>
          <a:ext cx="45910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40</xdr:row>
      <xdr:rowOff>83820</xdr:rowOff>
    </xdr:from>
    <xdr:to>
      <xdr:col>32</xdr:col>
      <xdr:colOff>7620</xdr:colOff>
      <xdr:row>40</xdr:row>
      <xdr:rowOff>83820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266FB295-3017-4561-9C24-2F9C55E7BBF4}"/>
            </a:ext>
          </a:extLst>
        </xdr:cNvPr>
        <xdr:cNvCxnSpPr/>
      </xdr:nvCxnSpPr>
      <xdr:spPr>
        <a:xfrm>
          <a:off x="14687550" y="771334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40</xdr:row>
      <xdr:rowOff>91440</xdr:rowOff>
    </xdr:from>
    <xdr:to>
      <xdr:col>32</xdr:col>
      <xdr:colOff>7620</xdr:colOff>
      <xdr:row>41</xdr:row>
      <xdr:rowOff>121920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3CC0705F-F943-4372-A8B2-1FB16FFFC0E3}"/>
            </a:ext>
          </a:extLst>
        </xdr:cNvPr>
        <xdr:cNvCxnSpPr/>
      </xdr:nvCxnSpPr>
      <xdr:spPr>
        <a:xfrm>
          <a:off x="14685645" y="7720965"/>
          <a:ext cx="466725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45</xdr:row>
      <xdr:rowOff>64770</xdr:rowOff>
    </xdr:from>
    <xdr:to>
      <xdr:col>25</xdr:col>
      <xdr:colOff>544830</xdr:colOff>
      <xdr:row>47</xdr:row>
      <xdr:rowOff>66675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F37C6B12-79D9-4281-9D60-72E32CD2CE15}"/>
            </a:ext>
          </a:extLst>
        </xdr:cNvPr>
        <xdr:cNvCxnSpPr/>
      </xdr:nvCxnSpPr>
      <xdr:spPr>
        <a:xfrm flipV="1">
          <a:off x="12163425" y="8646795"/>
          <a:ext cx="487680" cy="382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47</xdr:row>
      <xdr:rowOff>83820</xdr:rowOff>
    </xdr:from>
    <xdr:to>
      <xdr:col>26</xdr:col>
      <xdr:colOff>7620</xdr:colOff>
      <xdr:row>47</xdr:row>
      <xdr:rowOff>83820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84918672-84A1-4E7E-AF65-C57037422CB2}"/>
            </a:ext>
          </a:extLst>
        </xdr:cNvPr>
        <xdr:cNvCxnSpPr/>
      </xdr:nvCxnSpPr>
      <xdr:spPr>
        <a:xfrm>
          <a:off x="12163425" y="90468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47</xdr:row>
      <xdr:rowOff>91440</xdr:rowOff>
    </xdr:from>
    <xdr:to>
      <xdr:col>26</xdr:col>
      <xdr:colOff>7620</xdr:colOff>
      <xdr:row>52</xdr:row>
      <xdr:rowOff>121920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F82CE329-2F4A-4A97-A694-AF107D0F88DC}"/>
            </a:ext>
          </a:extLst>
        </xdr:cNvPr>
        <xdr:cNvCxnSpPr/>
      </xdr:nvCxnSpPr>
      <xdr:spPr>
        <a:xfrm>
          <a:off x="12161520" y="9054465"/>
          <a:ext cx="495300" cy="982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432435</xdr:colOff>
      <xdr:row>55</xdr:row>
      <xdr:rowOff>64770</xdr:rowOff>
    </xdr:from>
    <xdr:to>
      <xdr:col>25</xdr:col>
      <xdr:colOff>491490</xdr:colOff>
      <xdr:row>58</xdr:row>
      <xdr:rowOff>66675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75D8FFFD-17F4-4F2D-B5B8-B359A05547DE}"/>
            </a:ext>
          </a:extLst>
        </xdr:cNvPr>
        <xdr:cNvCxnSpPr/>
      </xdr:nvCxnSpPr>
      <xdr:spPr>
        <a:xfrm flipV="1">
          <a:off x="12167235" y="10551795"/>
          <a:ext cx="478155" cy="573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58</xdr:row>
      <xdr:rowOff>83820</xdr:rowOff>
    </xdr:from>
    <xdr:to>
      <xdr:col>26</xdr:col>
      <xdr:colOff>7620</xdr:colOff>
      <xdr:row>58</xdr:row>
      <xdr:rowOff>83820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38324A62-7416-4C14-BCBF-D8AE8D521A5E}"/>
            </a:ext>
          </a:extLst>
        </xdr:cNvPr>
        <xdr:cNvCxnSpPr/>
      </xdr:nvCxnSpPr>
      <xdr:spPr>
        <a:xfrm>
          <a:off x="12163425" y="111423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58</xdr:row>
      <xdr:rowOff>91440</xdr:rowOff>
    </xdr:from>
    <xdr:to>
      <xdr:col>26</xdr:col>
      <xdr:colOff>7620</xdr:colOff>
      <xdr:row>65</xdr:row>
      <xdr:rowOff>121920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6E7B4323-CDD7-40CD-9D86-A636111898A7}"/>
            </a:ext>
          </a:extLst>
        </xdr:cNvPr>
        <xdr:cNvCxnSpPr/>
      </xdr:nvCxnSpPr>
      <xdr:spPr>
        <a:xfrm>
          <a:off x="12161520" y="11149965"/>
          <a:ext cx="495300" cy="12306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447675</xdr:colOff>
      <xdr:row>84</xdr:row>
      <xdr:rowOff>64770</xdr:rowOff>
    </xdr:from>
    <xdr:to>
      <xdr:col>25</xdr:col>
      <xdr:colOff>544830</xdr:colOff>
      <xdr:row>87</xdr:row>
      <xdr:rowOff>66675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370E4624-1278-44D7-B84A-EF13632C3EC4}"/>
            </a:ext>
          </a:extLst>
        </xdr:cNvPr>
        <xdr:cNvCxnSpPr/>
      </xdr:nvCxnSpPr>
      <xdr:spPr>
        <a:xfrm flipV="1">
          <a:off x="12163425" y="15580995"/>
          <a:ext cx="487680" cy="4972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419100</xdr:colOff>
      <xdr:row>87</xdr:row>
      <xdr:rowOff>83820</xdr:rowOff>
    </xdr:from>
    <xdr:to>
      <xdr:col>26</xdr:col>
      <xdr:colOff>7620</xdr:colOff>
      <xdr:row>87</xdr:row>
      <xdr:rowOff>83820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528E3AF8-BDB1-4930-A5F5-614F5BCD3D1A}"/>
            </a:ext>
          </a:extLst>
        </xdr:cNvPr>
        <xdr:cNvCxnSpPr/>
      </xdr:nvCxnSpPr>
      <xdr:spPr>
        <a:xfrm>
          <a:off x="12163425" y="160953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426720</xdr:colOff>
      <xdr:row>87</xdr:row>
      <xdr:rowOff>91440</xdr:rowOff>
    </xdr:from>
    <xdr:to>
      <xdr:col>26</xdr:col>
      <xdr:colOff>7620</xdr:colOff>
      <xdr:row>90</xdr:row>
      <xdr:rowOff>121920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7A140029-AFE7-43E2-B7E7-3320BD5D424F}"/>
            </a:ext>
          </a:extLst>
        </xdr:cNvPr>
        <xdr:cNvCxnSpPr/>
      </xdr:nvCxnSpPr>
      <xdr:spPr>
        <a:xfrm>
          <a:off x="12161520" y="16102965"/>
          <a:ext cx="495300" cy="5448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46</xdr:row>
      <xdr:rowOff>64770</xdr:rowOff>
    </xdr:from>
    <xdr:to>
      <xdr:col>27</xdr:col>
      <xdr:colOff>491490</xdr:colOff>
      <xdr:row>47</xdr:row>
      <xdr:rowOff>66675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570E2036-4F59-4AD5-9746-675D6EF1A454}"/>
            </a:ext>
          </a:extLst>
        </xdr:cNvPr>
        <xdr:cNvCxnSpPr/>
      </xdr:nvCxnSpPr>
      <xdr:spPr>
        <a:xfrm flipV="1">
          <a:off x="13043535" y="8837295"/>
          <a:ext cx="36385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47</xdr:row>
      <xdr:rowOff>83820</xdr:rowOff>
    </xdr:from>
    <xdr:to>
      <xdr:col>28</xdr:col>
      <xdr:colOff>7620</xdr:colOff>
      <xdr:row>47</xdr:row>
      <xdr:rowOff>83820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EBE7DA14-38D1-408B-902E-53E4ECF17E34}"/>
            </a:ext>
          </a:extLst>
        </xdr:cNvPr>
        <xdr:cNvCxnSpPr/>
      </xdr:nvCxnSpPr>
      <xdr:spPr>
        <a:xfrm>
          <a:off x="13039725" y="90468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47</xdr:row>
      <xdr:rowOff>91440</xdr:rowOff>
    </xdr:from>
    <xdr:to>
      <xdr:col>28</xdr:col>
      <xdr:colOff>7620</xdr:colOff>
      <xdr:row>49</xdr:row>
      <xdr:rowOff>121920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29C406E1-ACA4-4F72-8E88-C4182FF6674D}"/>
            </a:ext>
          </a:extLst>
        </xdr:cNvPr>
        <xdr:cNvCxnSpPr/>
      </xdr:nvCxnSpPr>
      <xdr:spPr>
        <a:xfrm>
          <a:off x="13037820" y="9054465"/>
          <a:ext cx="38100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51</xdr:row>
      <xdr:rowOff>64770</xdr:rowOff>
    </xdr:from>
    <xdr:to>
      <xdr:col>27</xdr:col>
      <xdr:colOff>491490</xdr:colOff>
      <xdr:row>52</xdr:row>
      <xdr:rowOff>66675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9CDB421A-BE1A-4E9E-AAC5-491FA4453E82}"/>
            </a:ext>
          </a:extLst>
        </xdr:cNvPr>
        <xdr:cNvCxnSpPr/>
      </xdr:nvCxnSpPr>
      <xdr:spPr>
        <a:xfrm flipV="1">
          <a:off x="13043535" y="9789795"/>
          <a:ext cx="36385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52</xdr:row>
      <xdr:rowOff>83820</xdr:rowOff>
    </xdr:from>
    <xdr:to>
      <xdr:col>28</xdr:col>
      <xdr:colOff>7620</xdr:colOff>
      <xdr:row>52</xdr:row>
      <xdr:rowOff>83820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3A4370CC-12C5-4B0B-ABD9-04A8403B47B6}"/>
            </a:ext>
          </a:extLst>
        </xdr:cNvPr>
        <xdr:cNvCxnSpPr/>
      </xdr:nvCxnSpPr>
      <xdr:spPr>
        <a:xfrm>
          <a:off x="13039725" y="99993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52</xdr:row>
      <xdr:rowOff>91440</xdr:rowOff>
    </xdr:from>
    <xdr:to>
      <xdr:col>28</xdr:col>
      <xdr:colOff>7620</xdr:colOff>
      <xdr:row>53</xdr:row>
      <xdr:rowOff>121920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6C4E8B9E-78D0-49E5-8338-4ED5663F2669}"/>
            </a:ext>
          </a:extLst>
        </xdr:cNvPr>
        <xdr:cNvCxnSpPr/>
      </xdr:nvCxnSpPr>
      <xdr:spPr>
        <a:xfrm>
          <a:off x="13037820" y="10006965"/>
          <a:ext cx="3810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447675</xdr:colOff>
      <xdr:row>48</xdr:row>
      <xdr:rowOff>64770</xdr:rowOff>
    </xdr:from>
    <xdr:to>
      <xdr:col>29</xdr:col>
      <xdr:colOff>544830</xdr:colOff>
      <xdr:row>49</xdr:row>
      <xdr:rowOff>66675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23751A92-A3A7-49BE-AACE-6D6CA2C8B1EF}"/>
            </a:ext>
          </a:extLst>
        </xdr:cNvPr>
        <xdr:cNvCxnSpPr/>
      </xdr:nvCxnSpPr>
      <xdr:spPr>
        <a:xfrm flipV="1">
          <a:off x="13830300" y="9218295"/>
          <a:ext cx="44958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49</xdr:row>
      <xdr:rowOff>83820</xdr:rowOff>
    </xdr:from>
    <xdr:to>
      <xdr:col>30</xdr:col>
      <xdr:colOff>7620</xdr:colOff>
      <xdr:row>49</xdr:row>
      <xdr:rowOff>83820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A588AA31-D1C7-4F14-B12A-C7488EEB554E}"/>
            </a:ext>
          </a:extLst>
        </xdr:cNvPr>
        <xdr:cNvCxnSpPr/>
      </xdr:nvCxnSpPr>
      <xdr:spPr>
        <a:xfrm>
          <a:off x="13830300" y="942784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49</xdr:row>
      <xdr:rowOff>91440</xdr:rowOff>
    </xdr:from>
    <xdr:to>
      <xdr:col>30</xdr:col>
      <xdr:colOff>7620</xdr:colOff>
      <xdr:row>50</xdr:row>
      <xdr:rowOff>121920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D0489856-FEA8-4BD6-8913-BB387B84FA01}"/>
            </a:ext>
          </a:extLst>
        </xdr:cNvPr>
        <xdr:cNvCxnSpPr/>
      </xdr:nvCxnSpPr>
      <xdr:spPr>
        <a:xfrm>
          <a:off x="13828395" y="9435465"/>
          <a:ext cx="4572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54</xdr:row>
      <xdr:rowOff>64770</xdr:rowOff>
    </xdr:from>
    <xdr:to>
      <xdr:col>27</xdr:col>
      <xdr:colOff>491490</xdr:colOff>
      <xdr:row>55</xdr:row>
      <xdr:rowOff>66675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1173ED7B-9E17-44EE-9D44-272366F88CE4}"/>
            </a:ext>
          </a:extLst>
        </xdr:cNvPr>
        <xdr:cNvCxnSpPr/>
      </xdr:nvCxnSpPr>
      <xdr:spPr>
        <a:xfrm flipV="1">
          <a:off x="13043535" y="10361295"/>
          <a:ext cx="36385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55</xdr:row>
      <xdr:rowOff>83820</xdr:rowOff>
    </xdr:from>
    <xdr:to>
      <xdr:col>28</xdr:col>
      <xdr:colOff>7620</xdr:colOff>
      <xdr:row>55</xdr:row>
      <xdr:rowOff>83820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7833A4CE-F1F8-4040-A711-57EF930F26A2}"/>
            </a:ext>
          </a:extLst>
        </xdr:cNvPr>
        <xdr:cNvCxnSpPr/>
      </xdr:nvCxnSpPr>
      <xdr:spPr>
        <a:xfrm>
          <a:off x="13039725" y="105708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55</xdr:row>
      <xdr:rowOff>91440</xdr:rowOff>
    </xdr:from>
    <xdr:to>
      <xdr:col>28</xdr:col>
      <xdr:colOff>7620</xdr:colOff>
      <xdr:row>56</xdr:row>
      <xdr:rowOff>121920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DC7CAEA6-02B9-4E09-95C6-F866FB9A9E24}"/>
            </a:ext>
          </a:extLst>
        </xdr:cNvPr>
        <xdr:cNvCxnSpPr/>
      </xdr:nvCxnSpPr>
      <xdr:spPr>
        <a:xfrm>
          <a:off x="13037820" y="10578465"/>
          <a:ext cx="3810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57</xdr:row>
      <xdr:rowOff>64770</xdr:rowOff>
    </xdr:from>
    <xdr:to>
      <xdr:col>27</xdr:col>
      <xdr:colOff>491490</xdr:colOff>
      <xdr:row>58</xdr:row>
      <xdr:rowOff>66675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C9010360-94A1-4AD6-BF16-BC74A77D8A21}"/>
            </a:ext>
          </a:extLst>
        </xdr:cNvPr>
        <xdr:cNvCxnSpPr/>
      </xdr:nvCxnSpPr>
      <xdr:spPr>
        <a:xfrm flipV="1">
          <a:off x="13043535" y="10932795"/>
          <a:ext cx="363855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58</xdr:row>
      <xdr:rowOff>83820</xdr:rowOff>
    </xdr:from>
    <xdr:to>
      <xdr:col>28</xdr:col>
      <xdr:colOff>7620</xdr:colOff>
      <xdr:row>58</xdr:row>
      <xdr:rowOff>83820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F2F99564-31BF-4FC2-A0C7-0CCE3A097FAD}"/>
            </a:ext>
          </a:extLst>
        </xdr:cNvPr>
        <xdr:cNvCxnSpPr/>
      </xdr:nvCxnSpPr>
      <xdr:spPr>
        <a:xfrm>
          <a:off x="13039725" y="111423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58</xdr:row>
      <xdr:rowOff>91440</xdr:rowOff>
    </xdr:from>
    <xdr:to>
      <xdr:col>28</xdr:col>
      <xdr:colOff>7620</xdr:colOff>
      <xdr:row>59</xdr:row>
      <xdr:rowOff>121920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80D0E325-CEE0-46D8-BD9F-D1786504C948}"/>
            </a:ext>
          </a:extLst>
        </xdr:cNvPr>
        <xdr:cNvCxnSpPr/>
      </xdr:nvCxnSpPr>
      <xdr:spPr>
        <a:xfrm>
          <a:off x="13037820" y="11149965"/>
          <a:ext cx="3810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432435</xdr:colOff>
      <xdr:row>61</xdr:row>
      <xdr:rowOff>64770</xdr:rowOff>
    </xdr:from>
    <xdr:to>
      <xdr:col>27</xdr:col>
      <xdr:colOff>491490</xdr:colOff>
      <xdr:row>65</xdr:row>
      <xdr:rowOff>66675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9A57A7BB-2E69-437A-819E-867775E3506E}"/>
            </a:ext>
          </a:extLst>
        </xdr:cNvPr>
        <xdr:cNvCxnSpPr/>
      </xdr:nvCxnSpPr>
      <xdr:spPr>
        <a:xfrm flipV="1">
          <a:off x="13043535" y="11637645"/>
          <a:ext cx="363855" cy="6877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65</xdr:row>
      <xdr:rowOff>83820</xdr:rowOff>
    </xdr:from>
    <xdr:to>
      <xdr:col>28</xdr:col>
      <xdr:colOff>7620</xdr:colOff>
      <xdr:row>65</xdr:row>
      <xdr:rowOff>83820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446C9F46-8B95-499F-9924-76C49FC3BD56}"/>
            </a:ext>
          </a:extLst>
        </xdr:cNvPr>
        <xdr:cNvCxnSpPr/>
      </xdr:nvCxnSpPr>
      <xdr:spPr>
        <a:xfrm>
          <a:off x="13039725" y="1234249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65</xdr:row>
      <xdr:rowOff>91440</xdr:rowOff>
    </xdr:from>
    <xdr:to>
      <xdr:col>28</xdr:col>
      <xdr:colOff>7620</xdr:colOff>
      <xdr:row>73</xdr:row>
      <xdr:rowOff>121920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67522420-8365-49C3-BFEA-84E4E5F0A8CE}"/>
            </a:ext>
          </a:extLst>
        </xdr:cNvPr>
        <xdr:cNvCxnSpPr/>
      </xdr:nvCxnSpPr>
      <xdr:spPr>
        <a:xfrm>
          <a:off x="13037820" y="12350115"/>
          <a:ext cx="381000" cy="1402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60</xdr:row>
      <xdr:rowOff>64770</xdr:rowOff>
    </xdr:from>
    <xdr:to>
      <xdr:col>29</xdr:col>
      <xdr:colOff>491490</xdr:colOff>
      <xdr:row>61</xdr:row>
      <xdr:rowOff>66675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AE882F4B-D63D-4459-82FB-8AF426A9E13C}"/>
            </a:ext>
          </a:extLst>
        </xdr:cNvPr>
        <xdr:cNvCxnSpPr/>
      </xdr:nvCxnSpPr>
      <xdr:spPr>
        <a:xfrm flipV="1">
          <a:off x="13834110" y="11466195"/>
          <a:ext cx="44005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61</xdr:row>
      <xdr:rowOff>83820</xdr:rowOff>
    </xdr:from>
    <xdr:to>
      <xdr:col>30</xdr:col>
      <xdr:colOff>7620</xdr:colOff>
      <xdr:row>61</xdr:row>
      <xdr:rowOff>83820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F66A889-8E69-47C4-B95D-5970D52B3A74}"/>
            </a:ext>
          </a:extLst>
        </xdr:cNvPr>
        <xdr:cNvCxnSpPr/>
      </xdr:nvCxnSpPr>
      <xdr:spPr>
        <a:xfrm>
          <a:off x="13830300" y="1165669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61</xdr:row>
      <xdr:rowOff>91440</xdr:rowOff>
    </xdr:from>
    <xdr:to>
      <xdr:col>30</xdr:col>
      <xdr:colOff>7620</xdr:colOff>
      <xdr:row>62</xdr:row>
      <xdr:rowOff>121920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E6220AEC-ED0B-49C1-B12D-214260A46B6E}"/>
            </a:ext>
          </a:extLst>
        </xdr:cNvPr>
        <xdr:cNvCxnSpPr/>
      </xdr:nvCxnSpPr>
      <xdr:spPr>
        <a:xfrm>
          <a:off x="13828395" y="11664315"/>
          <a:ext cx="4572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63</xdr:row>
      <xdr:rowOff>64770</xdr:rowOff>
    </xdr:from>
    <xdr:to>
      <xdr:col>29</xdr:col>
      <xdr:colOff>491490</xdr:colOff>
      <xdr:row>65</xdr:row>
      <xdr:rowOff>66675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9366720B-3D67-4808-A3D1-B0E4F2FBC1E3}"/>
            </a:ext>
          </a:extLst>
        </xdr:cNvPr>
        <xdr:cNvCxnSpPr/>
      </xdr:nvCxnSpPr>
      <xdr:spPr>
        <a:xfrm flipV="1">
          <a:off x="13834110" y="11980545"/>
          <a:ext cx="440055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65</xdr:row>
      <xdr:rowOff>83820</xdr:rowOff>
    </xdr:from>
    <xdr:to>
      <xdr:col>30</xdr:col>
      <xdr:colOff>7620</xdr:colOff>
      <xdr:row>65</xdr:row>
      <xdr:rowOff>83820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DC13E6C8-4921-47CB-AA1C-1E126F211B71}"/>
            </a:ext>
          </a:extLst>
        </xdr:cNvPr>
        <xdr:cNvCxnSpPr/>
      </xdr:nvCxnSpPr>
      <xdr:spPr>
        <a:xfrm>
          <a:off x="13830300" y="1234249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65</xdr:row>
      <xdr:rowOff>91440</xdr:rowOff>
    </xdr:from>
    <xdr:to>
      <xdr:col>30</xdr:col>
      <xdr:colOff>7620</xdr:colOff>
      <xdr:row>69</xdr:row>
      <xdr:rowOff>121920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23BEFF7C-A0A8-40C2-9A5F-A55C594171EA}"/>
            </a:ext>
          </a:extLst>
        </xdr:cNvPr>
        <xdr:cNvCxnSpPr/>
      </xdr:nvCxnSpPr>
      <xdr:spPr>
        <a:xfrm>
          <a:off x="13828395" y="12350115"/>
          <a:ext cx="45720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432435</xdr:colOff>
      <xdr:row>72</xdr:row>
      <xdr:rowOff>64770</xdr:rowOff>
    </xdr:from>
    <xdr:to>
      <xdr:col>29</xdr:col>
      <xdr:colOff>491490</xdr:colOff>
      <xdr:row>73</xdr:row>
      <xdr:rowOff>66675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2C7DF697-E7C6-4324-9BBB-82D95DB71A8A}"/>
            </a:ext>
          </a:extLst>
        </xdr:cNvPr>
        <xdr:cNvCxnSpPr/>
      </xdr:nvCxnSpPr>
      <xdr:spPr>
        <a:xfrm flipV="1">
          <a:off x="13834110" y="13523595"/>
          <a:ext cx="44005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419100</xdr:colOff>
      <xdr:row>73</xdr:row>
      <xdr:rowOff>83820</xdr:rowOff>
    </xdr:from>
    <xdr:to>
      <xdr:col>30</xdr:col>
      <xdr:colOff>7620</xdr:colOff>
      <xdr:row>73</xdr:row>
      <xdr:rowOff>83820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5ECC8825-73E1-4FEB-8389-90CC83399A92}"/>
            </a:ext>
          </a:extLst>
        </xdr:cNvPr>
        <xdr:cNvCxnSpPr/>
      </xdr:nvCxnSpPr>
      <xdr:spPr>
        <a:xfrm>
          <a:off x="13830300" y="13714095"/>
          <a:ext cx="4552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426720</xdr:colOff>
      <xdr:row>73</xdr:row>
      <xdr:rowOff>91440</xdr:rowOff>
    </xdr:from>
    <xdr:to>
      <xdr:col>30</xdr:col>
      <xdr:colOff>7620</xdr:colOff>
      <xdr:row>77</xdr:row>
      <xdr:rowOff>121920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CDC4A0B6-4AFE-4EF9-9B49-2D88FACA08DA}"/>
            </a:ext>
          </a:extLst>
        </xdr:cNvPr>
        <xdr:cNvCxnSpPr/>
      </xdr:nvCxnSpPr>
      <xdr:spPr>
        <a:xfrm>
          <a:off x="13828395" y="13721715"/>
          <a:ext cx="45720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74</xdr:row>
      <xdr:rowOff>64770</xdr:rowOff>
    </xdr:from>
    <xdr:to>
      <xdr:col>31</xdr:col>
      <xdr:colOff>491490</xdr:colOff>
      <xdr:row>77</xdr:row>
      <xdr:rowOff>66675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764AD2F6-A131-4CE4-A2DC-3EA05A2A99F7}"/>
            </a:ext>
          </a:extLst>
        </xdr:cNvPr>
        <xdr:cNvCxnSpPr/>
      </xdr:nvCxnSpPr>
      <xdr:spPr>
        <a:xfrm flipV="1">
          <a:off x="14691360" y="13866495"/>
          <a:ext cx="449580" cy="5162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77</xdr:row>
      <xdr:rowOff>83820</xdr:rowOff>
    </xdr:from>
    <xdr:to>
      <xdr:col>32</xdr:col>
      <xdr:colOff>7620</xdr:colOff>
      <xdr:row>77</xdr:row>
      <xdr:rowOff>83820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74E1A8EE-5D8D-4E36-99D5-F5F56912E69A}"/>
            </a:ext>
          </a:extLst>
        </xdr:cNvPr>
        <xdr:cNvCxnSpPr/>
      </xdr:nvCxnSpPr>
      <xdr:spPr>
        <a:xfrm>
          <a:off x="14687550" y="1439989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77</xdr:row>
      <xdr:rowOff>91440</xdr:rowOff>
    </xdr:from>
    <xdr:to>
      <xdr:col>32</xdr:col>
      <xdr:colOff>7620</xdr:colOff>
      <xdr:row>82</xdr:row>
      <xdr:rowOff>121920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801E3528-121C-4703-A8E8-6263445ACE6C}"/>
            </a:ext>
          </a:extLst>
        </xdr:cNvPr>
        <xdr:cNvCxnSpPr/>
      </xdr:nvCxnSpPr>
      <xdr:spPr>
        <a:xfrm>
          <a:off x="14685645" y="14407515"/>
          <a:ext cx="466725" cy="887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64</xdr:row>
      <xdr:rowOff>64770</xdr:rowOff>
    </xdr:from>
    <xdr:to>
      <xdr:col>31</xdr:col>
      <xdr:colOff>491490</xdr:colOff>
      <xdr:row>65</xdr:row>
      <xdr:rowOff>66675</xdr:rowOff>
    </xdr:to>
    <xdr:cxnSp macro="">
      <xdr:nvCxnSpPr>
        <xdr:cNvPr id="216" name="Straight Arrow Connector 215">
          <a:extLst>
            <a:ext uri="{FF2B5EF4-FFF2-40B4-BE49-F238E27FC236}">
              <a16:creationId xmlns:a16="http://schemas.microsoft.com/office/drawing/2014/main" id="{42173BA0-0A35-446C-A83C-85794B197E31}"/>
            </a:ext>
          </a:extLst>
        </xdr:cNvPr>
        <xdr:cNvCxnSpPr/>
      </xdr:nvCxnSpPr>
      <xdr:spPr>
        <a:xfrm flipV="1">
          <a:off x="14691360" y="12151995"/>
          <a:ext cx="44958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65</xdr:row>
      <xdr:rowOff>83820</xdr:rowOff>
    </xdr:from>
    <xdr:to>
      <xdr:col>32</xdr:col>
      <xdr:colOff>7620</xdr:colOff>
      <xdr:row>65</xdr:row>
      <xdr:rowOff>83820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4FA8357D-2825-4CD5-BE43-2070F7978B55}"/>
            </a:ext>
          </a:extLst>
        </xdr:cNvPr>
        <xdr:cNvCxnSpPr/>
      </xdr:nvCxnSpPr>
      <xdr:spPr>
        <a:xfrm>
          <a:off x="14687550" y="1234249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65</xdr:row>
      <xdr:rowOff>91440</xdr:rowOff>
    </xdr:from>
    <xdr:to>
      <xdr:col>32</xdr:col>
      <xdr:colOff>7620</xdr:colOff>
      <xdr:row>66</xdr:row>
      <xdr:rowOff>121920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420C59C7-E303-41C6-AF9D-5330319038E3}"/>
            </a:ext>
          </a:extLst>
        </xdr:cNvPr>
        <xdr:cNvCxnSpPr/>
      </xdr:nvCxnSpPr>
      <xdr:spPr>
        <a:xfrm>
          <a:off x="14685645" y="12350115"/>
          <a:ext cx="466725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432435</xdr:colOff>
      <xdr:row>67</xdr:row>
      <xdr:rowOff>64770</xdr:rowOff>
    </xdr:from>
    <xdr:to>
      <xdr:col>31</xdr:col>
      <xdr:colOff>491490</xdr:colOff>
      <xdr:row>69</xdr:row>
      <xdr:rowOff>66675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2E05F988-A504-4F0D-9203-C52A0163588C}"/>
            </a:ext>
          </a:extLst>
        </xdr:cNvPr>
        <xdr:cNvCxnSpPr/>
      </xdr:nvCxnSpPr>
      <xdr:spPr>
        <a:xfrm flipV="1">
          <a:off x="14691360" y="12666345"/>
          <a:ext cx="44958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419100</xdr:colOff>
      <xdr:row>69</xdr:row>
      <xdr:rowOff>83820</xdr:rowOff>
    </xdr:from>
    <xdr:to>
      <xdr:col>32</xdr:col>
      <xdr:colOff>7620</xdr:colOff>
      <xdr:row>69</xdr:row>
      <xdr:rowOff>83820</xdr:rowOff>
    </xdr:to>
    <xdr:cxnSp macro="">
      <xdr:nvCxnSpPr>
        <xdr:cNvPr id="220" name="Straight Arrow Connector 219">
          <a:extLst>
            <a:ext uri="{FF2B5EF4-FFF2-40B4-BE49-F238E27FC236}">
              <a16:creationId xmlns:a16="http://schemas.microsoft.com/office/drawing/2014/main" id="{38337C9F-439C-4E89-9E21-DA8794390BB5}"/>
            </a:ext>
          </a:extLst>
        </xdr:cNvPr>
        <xdr:cNvCxnSpPr/>
      </xdr:nvCxnSpPr>
      <xdr:spPr>
        <a:xfrm>
          <a:off x="14687550" y="13028295"/>
          <a:ext cx="464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426720</xdr:colOff>
      <xdr:row>69</xdr:row>
      <xdr:rowOff>91440</xdr:rowOff>
    </xdr:from>
    <xdr:to>
      <xdr:col>32</xdr:col>
      <xdr:colOff>7620</xdr:colOff>
      <xdr:row>71</xdr:row>
      <xdr:rowOff>121920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C337219E-E33D-4172-A63F-ECBA7E4F6260}"/>
            </a:ext>
          </a:extLst>
        </xdr:cNvPr>
        <xdr:cNvCxnSpPr/>
      </xdr:nvCxnSpPr>
      <xdr:spPr>
        <a:xfrm>
          <a:off x="14685645" y="13035915"/>
          <a:ext cx="466725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432435</xdr:colOff>
      <xdr:row>68</xdr:row>
      <xdr:rowOff>64770</xdr:rowOff>
    </xdr:from>
    <xdr:to>
      <xdr:col>33</xdr:col>
      <xdr:colOff>491490</xdr:colOff>
      <xdr:row>69</xdr:row>
      <xdr:rowOff>66675</xdr:rowOff>
    </xdr:to>
    <xdr:cxnSp macro="">
      <xdr:nvCxnSpPr>
        <xdr:cNvPr id="222" name="Straight Arrow Connector 221">
          <a:extLst>
            <a:ext uri="{FF2B5EF4-FFF2-40B4-BE49-F238E27FC236}">
              <a16:creationId xmlns:a16="http://schemas.microsoft.com/office/drawing/2014/main" id="{6390D438-21AF-47DF-A0A8-96C2A73ECAB4}"/>
            </a:ext>
          </a:extLst>
        </xdr:cNvPr>
        <xdr:cNvCxnSpPr/>
      </xdr:nvCxnSpPr>
      <xdr:spPr>
        <a:xfrm flipV="1">
          <a:off x="15529560" y="12837795"/>
          <a:ext cx="34480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419100</xdr:colOff>
      <xdr:row>69</xdr:row>
      <xdr:rowOff>83820</xdr:rowOff>
    </xdr:from>
    <xdr:to>
      <xdr:col>34</xdr:col>
      <xdr:colOff>7620</xdr:colOff>
      <xdr:row>69</xdr:row>
      <xdr:rowOff>83820</xdr:rowOff>
    </xdr:to>
    <xdr:cxnSp macro="">
      <xdr:nvCxnSpPr>
        <xdr:cNvPr id="223" name="Straight Arrow Connector 222">
          <a:extLst>
            <a:ext uri="{FF2B5EF4-FFF2-40B4-BE49-F238E27FC236}">
              <a16:creationId xmlns:a16="http://schemas.microsoft.com/office/drawing/2014/main" id="{564EC667-A170-4587-9B19-006354E63F62}"/>
            </a:ext>
          </a:extLst>
        </xdr:cNvPr>
        <xdr:cNvCxnSpPr/>
      </xdr:nvCxnSpPr>
      <xdr:spPr>
        <a:xfrm>
          <a:off x="15525750" y="13028295"/>
          <a:ext cx="3600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426720</xdr:colOff>
      <xdr:row>69</xdr:row>
      <xdr:rowOff>91440</xdr:rowOff>
    </xdr:from>
    <xdr:to>
      <xdr:col>34</xdr:col>
      <xdr:colOff>7620</xdr:colOff>
      <xdr:row>70</xdr:row>
      <xdr:rowOff>121920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B6985B0B-6264-45F6-8263-6DBE016F9912}"/>
            </a:ext>
          </a:extLst>
        </xdr:cNvPr>
        <xdr:cNvCxnSpPr/>
      </xdr:nvCxnSpPr>
      <xdr:spPr>
        <a:xfrm>
          <a:off x="15523845" y="13035915"/>
          <a:ext cx="36195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432435</xdr:colOff>
      <xdr:row>75</xdr:row>
      <xdr:rowOff>64770</xdr:rowOff>
    </xdr:from>
    <xdr:to>
      <xdr:col>33</xdr:col>
      <xdr:colOff>491490</xdr:colOff>
      <xdr:row>77</xdr:row>
      <xdr:rowOff>66675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C1187705-D063-4ECD-AA50-0405A83B5C68}"/>
            </a:ext>
          </a:extLst>
        </xdr:cNvPr>
        <xdr:cNvCxnSpPr/>
      </xdr:nvCxnSpPr>
      <xdr:spPr>
        <a:xfrm flipV="1">
          <a:off x="15529560" y="14037945"/>
          <a:ext cx="344805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419100</xdr:colOff>
      <xdr:row>77</xdr:row>
      <xdr:rowOff>83820</xdr:rowOff>
    </xdr:from>
    <xdr:to>
      <xdr:col>34</xdr:col>
      <xdr:colOff>7620</xdr:colOff>
      <xdr:row>77</xdr:row>
      <xdr:rowOff>83820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43B98473-AC99-4560-A1DA-F7B7C7A12BAF}"/>
            </a:ext>
          </a:extLst>
        </xdr:cNvPr>
        <xdr:cNvCxnSpPr/>
      </xdr:nvCxnSpPr>
      <xdr:spPr>
        <a:xfrm>
          <a:off x="15525750" y="14399895"/>
          <a:ext cx="36004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426720</xdr:colOff>
      <xdr:row>77</xdr:row>
      <xdr:rowOff>91440</xdr:rowOff>
    </xdr:from>
    <xdr:to>
      <xdr:col>34</xdr:col>
      <xdr:colOff>7620</xdr:colOff>
      <xdr:row>80</xdr:row>
      <xdr:rowOff>121920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73A0BE15-7B7A-4186-8733-8BA741FB531D}"/>
            </a:ext>
          </a:extLst>
        </xdr:cNvPr>
        <xdr:cNvCxnSpPr/>
      </xdr:nvCxnSpPr>
      <xdr:spPr>
        <a:xfrm>
          <a:off x="15523845" y="14407515"/>
          <a:ext cx="361950" cy="5448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436245</xdr:colOff>
      <xdr:row>76</xdr:row>
      <xdr:rowOff>62865</xdr:rowOff>
    </xdr:from>
    <xdr:to>
      <xdr:col>35</xdr:col>
      <xdr:colOff>491490</xdr:colOff>
      <xdr:row>77</xdr:row>
      <xdr:rowOff>64770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FE1AB895-6A80-4806-8F2B-5A9C967B96CE}"/>
            </a:ext>
          </a:extLst>
        </xdr:cNvPr>
        <xdr:cNvCxnSpPr/>
      </xdr:nvCxnSpPr>
      <xdr:spPr>
        <a:xfrm flipV="1">
          <a:off x="16295370" y="14207490"/>
          <a:ext cx="48387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419100</xdr:colOff>
      <xdr:row>77</xdr:row>
      <xdr:rowOff>83820</xdr:rowOff>
    </xdr:from>
    <xdr:to>
      <xdr:col>36</xdr:col>
      <xdr:colOff>7620</xdr:colOff>
      <xdr:row>77</xdr:row>
      <xdr:rowOff>83820</xdr:rowOff>
    </xdr:to>
    <xdr:cxnSp macro="">
      <xdr:nvCxnSpPr>
        <xdr:cNvPr id="229" name="Straight Arrow Connector 228">
          <a:extLst>
            <a:ext uri="{FF2B5EF4-FFF2-40B4-BE49-F238E27FC236}">
              <a16:creationId xmlns:a16="http://schemas.microsoft.com/office/drawing/2014/main" id="{6D2F94A5-6A5A-4D94-A580-2404ECDA94A0}"/>
            </a:ext>
          </a:extLst>
        </xdr:cNvPr>
        <xdr:cNvCxnSpPr/>
      </xdr:nvCxnSpPr>
      <xdr:spPr>
        <a:xfrm>
          <a:off x="16297275" y="1439989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426720</xdr:colOff>
      <xdr:row>77</xdr:row>
      <xdr:rowOff>91440</xdr:rowOff>
    </xdr:from>
    <xdr:to>
      <xdr:col>36</xdr:col>
      <xdr:colOff>7620</xdr:colOff>
      <xdr:row>78</xdr:row>
      <xdr:rowOff>121920</xdr:rowOff>
    </xdr:to>
    <xdr:cxnSp macro="">
      <xdr:nvCxnSpPr>
        <xdr:cNvPr id="230" name="Straight Arrow Connector 229">
          <a:extLst>
            <a:ext uri="{FF2B5EF4-FFF2-40B4-BE49-F238E27FC236}">
              <a16:creationId xmlns:a16="http://schemas.microsoft.com/office/drawing/2014/main" id="{24DA15F5-4FC7-4FB6-92E3-4C3BD15544B8}"/>
            </a:ext>
          </a:extLst>
        </xdr:cNvPr>
        <xdr:cNvCxnSpPr/>
      </xdr:nvCxnSpPr>
      <xdr:spPr>
        <a:xfrm>
          <a:off x="16295370" y="14407515"/>
          <a:ext cx="4953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432435</xdr:colOff>
      <xdr:row>79</xdr:row>
      <xdr:rowOff>64770</xdr:rowOff>
    </xdr:from>
    <xdr:to>
      <xdr:col>35</xdr:col>
      <xdr:colOff>491490</xdr:colOff>
      <xdr:row>80</xdr:row>
      <xdr:rowOff>66675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11870153-FA0D-4FA5-851B-33259436D38E}"/>
            </a:ext>
          </a:extLst>
        </xdr:cNvPr>
        <xdr:cNvCxnSpPr/>
      </xdr:nvCxnSpPr>
      <xdr:spPr>
        <a:xfrm flipV="1">
          <a:off x="16301085" y="14723745"/>
          <a:ext cx="478155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419100</xdr:colOff>
      <xdr:row>80</xdr:row>
      <xdr:rowOff>83820</xdr:rowOff>
    </xdr:from>
    <xdr:to>
      <xdr:col>36</xdr:col>
      <xdr:colOff>7620</xdr:colOff>
      <xdr:row>80</xdr:row>
      <xdr:rowOff>83820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627801F9-4EB6-47A9-82BF-2598E31E8106}"/>
            </a:ext>
          </a:extLst>
        </xdr:cNvPr>
        <xdr:cNvCxnSpPr/>
      </xdr:nvCxnSpPr>
      <xdr:spPr>
        <a:xfrm>
          <a:off x="16297275" y="14914245"/>
          <a:ext cx="4933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426720</xdr:colOff>
      <xdr:row>80</xdr:row>
      <xdr:rowOff>91440</xdr:rowOff>
    </xdr:from>
    <xdr:to>
      <xdr:col>36</xdr:col>
      <xdr:colOff>7620</xdr:colOff>
      <xdr:row>81</xdr:row>
      <xdr:rowOff>121920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ADA50A2E-595E-4776-B465-536A2F14E8D9}"/>
            </a:ext>
          </a:extLst>
        </xdr:cNvPr>
        <xdr:cNvCxnSpPr/>
      </xdr:nvCxnSpPr>
      <xdr:spPr>
        <a:xfrm>
          <a:off x="16295370" y="14921865"/>
          <a:ext cx="4953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83</xdr:row>
      <xdr:rowOff>62865</xdr:rowOff>
    </xdr:from>
    <xdr:to>
      <xdr:col>27</xdr:col>
      <xdr:colOff>491490</xdr:colOff>
      <xdr:row>84</xdr:row>
      <xdr:rowOff>64770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B33DFA54-1A8B-4A58-8094-15D48BFFDE92}"/>
            </a:ext>
          </a:extLst>
        </xdr:cNvPr>
        <xdr:cNvCxnSpPr/>
      </xdr:nvCxnSpPr>
      <xdr:spPr>
        <a:xfrm flipV="1">
          <a:off x="13037820" y="15407640"/>
          <a:ext cx="36957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84</xdr:row>
      <xdr:rowOff>83820</xdr:rowOff>
    </xdr:from>
    <xdr:to>
      <xdr:col>28</xdr:col>
      <xdr:colOff>7620</xdr:colOff>
      <xdr:row>84</xdr:row>
      <xdr:rowOff>83820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15674446-D7E4-411D-AE3B-CDB5BC9A4402}"/>
            </a:ext>
          </a:extLst>
        </xdr:cNvPr>
        <xdr:cNvCxnSpPr/>
      </xdr:nvCxnSpPr>
      <xdr:spPr>
        <a:xfrm>
          <a:off x="13039725" y="156000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84</xdr:row>
      <xdr:rowOff>91440</xdr:rowOff>
    </xdr:from>
    <xdr:to>
      <xdr:col>28</xdr:col>
      <xdr:colOff>7620</xdr:colOff>
      <xdr:row>85</xdr:row>
      <xdr:rowOff>121920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7951D69E-DBA2-475C-AD14-F97650FBBA54}"/>
            </a:ext>
          </a:extLst>
        </xdr:cNvPr>
        <xdr:cNvCxnSpPr/>
      </xdr:nvCxnSpPr>
      <xdr:spPr>
        <a:xfrm>
          <a:off x="13037820" y="15607665"/>
          <a:ext cx="381000" cy="192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86</xdr:row>
      <xdr:rowOff>62865</xdr:rowOff>
    </xdr:from>
    <xdr:to>
      <xdr:col>27</xdr:col>
      <xdr:colOff>491490</xdr:colOff>
      <xdr:row>87</xdr:row>
      <xdr:rowOff>64770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86005CEE-3C3D-456A-815F-663B6B0EBABE}"/>
            </a:ext>
          </a:extLst>
        </xdr:cNvPr>
        <xdr:cNvCxnSpPr/>
      </xdr:nvCxnSpPr>
      <xdr:spPr>
        <a:xfrm flipV="1">
          <a:off x="13037820" y="15902940"/>
          <a:ext cx="36957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87</xdr:row>
      <xdr:rowOff>83820</xdr:rowOff>
    </xdr:from>
    <xdr:to>
      <xdr:col>28</xdr:col>
      <xdr:colOff>7620</xdr:colOff>
      <xdr:row>87</xdr:row>
      <xdr:rowOff>83820</xdr:rowOff>
    </xdr:to>
    <xdr:cxnSp macro="">
      <xdr:nvCxnSpPr>
        <xdr:cNvPr id="238" name="Straight Arrow Connector 237">
          <a:extLst>
            <a:ext uri="{FF2B5EF4-FFF2-40B4-BE49-F238E27FC236}">
              <a16:creationId xmlns:a16="http://schemas.microsoft.com/office/drawing/2014/main" id="{50361749-23F3-4AA7-9A72-840F0BE273D2}"/>
            </a:ext>
          </a:extLst>
        </xdr:cNvPr>
        <xdr:cNvCxnSpPr/>
      </xdr:nvCxnSpPr>
      <xdr:spPr>
        <a:xfrm>
          <a:off x="13039725" y="1609534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87</xdr:row>
      <xdr:rowOff>91440</xdr:rowOff>
    </xdr:from>
    <xdr:to>
      <xdr:col>28</xdr:col>
      <xdr:colOff>7620</xdr:colOff>
      <xdr:row>88</xdr:row>
      <xdr:rowOff>121920</xdr:rowOff>
    </xdr:to>
    <xdr:cxnSp macro="">
      <xdr:nvCxnSpPr>
        <xdr:cNvPr id="239" name="Straight Arrow Connector 238">
          <a:extLst>
            <a:ext uri="{FF2B5EF4-FFF2-40B4-BE49-F238E27FC236}">
              <a16:creationId xmlns:a16="http://schemas.microsoft.com/office/drawing/2014/main" id="{897947B5-A4EC-4769-8969-150E4A1C667A}"/>
            </a:ext>
          </a:extLst>
        </xdr:cNvPr>
        <xdr:cNvCxnSpPr/>
      </xdr:nvCxnSpPr>
      <xdr:spPr>
        <a:xfrm>
          <a:off x="13037820" y="16102965"/>
          <a:ext cx="3810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436245</xdr:colOff>
      <xdr:row>89</xdr:row>
      <xdr:rowOff>62865</xdr:rowOff>
    </xdr:from>
    <xdr:to>
      <xdr:col>27</xdr:col>
      <xdr:colOff>491490</xdr:colOff>
      <xdr:row>90</xdr:row>
      <xdr:rowOff>64770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7BD9C89D-F947-4A94-B1A6-049825C79049}"/>
            </a:ext>
          </a:extLst>
        </xdr:cNvPr>
        <xdr:cNvCxnSpPr/>
      </xdr:nvCxnSpPr>
      <xdr:spPr>
        <a:xfrm flipV="1">
          <a:off x="13037820" y="16417290"/>
          <a:ext cx="369570" cy="173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419100</xdr:colOff>
      <xdr:row>90</xdr:row>
      <xdr:rowOff>83820</xdr:rowOff>
    </xdr:from>
    <xdr:to>
      <xdr:col>28</xdr:col>
      <xdr:colOff>7620</xdr:colOff>
      <xdr:row>90</xdr:row>
      <xdr:rowOff>83820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1CCA83A0-8F9B-44A9-AF1C-C7F28C162252}"/>
            </a:ext>
          </a:extLst>
        </xdr:cNvPr>
        <xdr:cNvCxnSpPr/>
      </xdr:nvCxnSpPr>
      <xdr:spPr>
        <a:xfrm>
          <a:off x="13039725" y="16609695"/>
          <a:ext cx="3790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426720</xdr:colOff>
      <xdr:row>90</xdr:row>
      <xdr:rowOff>91440</xdr:rowOff>
    </xdr:from>
    <xdr:to>
      <xdr:col>28</xdr:col>
      <xdr:colOff>7620</xdr:colOff>
      <xdr:row>91</xdr:row>
      <xdr:rowOff>121920</xdr:rowOff>
    </xdr:to>
    <xdr:cxnSp macro="">
      <xdr:nvCxnSpPr>
        <xdr:cNvPr id="242" name="Straight Arrow Connector 241">
          <a:extLst>
            <a:ext uri="{FF2B5EF4-FFF2-40B4-BE49-F238E27FC236}">
              <a16:creationId xmlns:a16="http://schemas.microsoft.com/office/drawing/2014/main" id="{CF2018EA-7776-45F1-8EC6-BB1C0571FC6E}"/>
            </a:ext>
          </a:extLst>
        </xdr:cNvPr>
        <xdr:cNvCxnSpPr/>
      </xdr:nvCxnSpPr>
      <xdr:spPr>
        <a:xfrm>
          <a:off x="13037820" y="16617315"/>
          <a:ext cx="381000" cy="201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Relationship Id="rId4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\" TargetMode="External"/><Relationship Id="rId1" Type="http://schemas.openxmlformats.org/officeDocument/2006/relationships/hyperlink" Target="\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5DE9-B6C0-4FB6-A6D5-9F3240580FEC}">
  <dimension ref="A1:Y33"/>
  <sheetViews>
    <sheetView workbookViewId="0">
      <selection activeCell="A13" sqref="A13:L33"/>
    </sheetView>
  </sheetViews>
  <sheetFormatPr defaultRowHeight="15" x14ac:dyDescent="0.25"/>
  <cols>
    <col min="1" max="1" width="1.85546875" customWidth="1"/>
    <col min="2" max="10" width="5.28515625" customWidth="1"/>
    <col min="12" max="12" width="6.140625" customWidth="1"/>
  </cols>
  <sheetData>
    <row r="1" spans="1:23" x14ac:dyDescent="0.25">
      <c r="B1" t="s">
        <v>0</v>
      </c>
      <c r="C1" t="s">
        <v>2</v>
      </c>
      <c r="H1" t="s">
        <v>3</v>
      </c>
      <c r="I1">
        <v>10</v>
      </c>
      <c r="J1" t="s">
        <v>4</v>
      </c>
      <c r="K1" t="s">
        <v>14</v>
      </c>
      <c r="L1" t="s">
        <v>13</v>
      </c>
      <c r="T1">
        <v>60</v>
      </c>
      <c r="U1">
        <v>3</v>
      </c>
      <c r="V1">
        <f>T1/U1</f>
        <v>20</v>
      </c>
      <c r="W1" t="s">
        <v>23</v>
      </c>
    </row>
    <row r="2" spans="1:23" x14ac:dyDescent="0.25">
      <c r="B2" t="s">
        <v>1</v>
      </c>
      <c r="C2">
        <v>2</v>
      </c>
      <c r="L2" t="s">
        <v>16</v>
      </c>
      <c r="M2" t="s">
        <v>17</v>
      </c>
      <c r="O2" t="s">
        <v>18</v>
      </c>
      <c r="T2">
        <v>60</v>
      </c>
      <c r="U2">
        <v>4</v>
      </c>
      <c r="V2">
        <f>T2/U2</f>
        <v>15</v>
      </c>
      <c r="W2" t="s">
        <v>23</v>
      </c>
    </row>
    <row r="3" spans="1:23" x14ac:dyDescent="0.25">
      <c r="B3">
        <v>737</v>
      </c>
      <c r="C3">
        <v>3</v>
      </c>
    </row>
    <row r="5" spans="1:23" x14ac:dyDescent="0.25">
      <c r="A5" t="s">
        <v>5</v>
      </c>
      <c r="B5" t="s">
        <v>6</v>
      </c>
      <c r="C5" s="1" t="s">
        <v>7</v>
      </c>
      <c r="D5" t="s">
        <v>8</v>
      </c>
      <c r="E5" t="s">
        <v>8</v>
      </c>
      <c r="F5" t="s">
        <v>8</v>
      </c>
    </row>
    <row r="6" spans="1:23" x14ac:dyDescent="0.25">
      <c r="A6" t="s">
        <v>5</v>
      </c>
      <c r="B6" t="s">
        <v>9</v>
      </c>
      <c r="C6" s="1" t="s">
        <v>7</v>
      </c>
      <c r="D6" t="s">
        <v>8</v>
      </c>
      <c r="E6" t="s">
        <v>8</v>
      </c>
      <c r="F6" t="s">
        <v>8</v>
      </c>
      <c r="G6" t="s">
        <v>8</v>
      </c>
      <c r="L6" t="s">
        <v>19</v>
      </c>
    </row>
    <row r="7" spans="1:23" x14ac:dyDescent="0.25">
      <c r="L7" t="s">
        <v>20</v>
      </c>
    </row>
    <row r="9" spans="1:23" x14ac:dyDescent="0.25">
      <c r="L9" t="s">
        <v>21</v>
      </c>
    </row>
    <row r="10" spans="1:23" x14ac:dyDescent="0.25">
      <c r="B10" t="s">
        <v>12</v>
      </c>
      <c r="C10">
        <v>5</v>
      </c>
      <c r="D10">
        <v>10</v>
      </c>
      <c r="E10">
        <v>15</v>
      </c>
      <c r="F10">
        <v>20</v>
      </c>
      <c r="G10">
        <v>25</v>
      </c>
      <c r="H10">
        <v>30</v>
      </c>
      <c r="I10">
        <v>35</v>
      </c>
      <c r="J10">
        <v>40</v>
      </c>
      <c r="K10">
        <v>45</v>
      </c>
      <c r="L10">
        <v>50</v>
      </c>
      <c r="M10">
        <v>55</v>
      </c>
    </row>
    <row r="11" spans="1:23" x14ac:dyDescent="0.25">
      <c r="B11" s="1">
        <v>100</v>
      </c>
      <c r="L11" s="2" t="s">
        <v>22</v>
      </c>
    </row>
    <row r="13" spans="1:23" x14ac:dyDescent="0.25">
      <c r="A13" t="s">
        <v>31</v>
      </c>
      <c r="N13" t="s">
        <v>32</v>
      </c>
    </row>
    <row r="14" spans="1:23" x14ac:dyDescent="0.25">
      <c r="A14" s="3" t="s">
        <v>10</v>
      </c>
      <c r="B14" s="3"/>
      <c r="C14" s="3" t="s">
        <v>11</v>
      </c>
      <c r="N14" s="3" t="s">
        <v>10</v>
      </c>
      <c r="O14" s="3"/>
      <c r="P14" s="3" t="s">
        <v>11</v>
      </c>
    </row>
    <row r="15" spans="1:23" x14ac:dyDescent="0.25">
      <c r="B15" s="8"/>
      <c r="C15" s="11">
        <v>2</v>
      </c>
      <c r="D15" s="11">
        <v>3</v>
      </c>
      <c r="E15" s="11">
        <v>0</v>
      </c>
      <c r="G15" s="16" t="s">
        <v>29</v>
      </c>
      <c r="O15" s="8"/>
      <c r="P15" s="11">
        <v>2</v>
      </c>
      <c r="Q15" s="11">
        <v>3</v>
      </c>
      <c r="R15" s="11">
        <v>0</v>
      </c>
      <c r="T15" s="16" t="s">
        <v>29</v>
      </c>
    </row>
    <row r="16" spans="1:23" x14ac:dyDescent="0.25">
      <c r="B16" s="9">
        <v>111</v>
      </c>
      <c r="C16" s="14" t="s">
        <v>28</v>
      </c>
      <c r="D16" s="14">
        <v>111</v>
      </c>
      <c r="E16" s="14">
        <v>110</v>
      </c>
      <c r="G16" s="18">
        <v>0.5</v>
      </c>
      <c r="O16" s="9">
        <v>111</v>
      </c>
      <c r="P16" s="14" t="s">
        <v>28</v>
      </c>
      <c r="Q16" s="14">
        <v>111</v>
      </c>
      <c r="R16" s="14">
        <v>110</v>
      </c>
      <c r="T16" s="18">
        <v>0.5</v>
      </c>
    </row>
    <row r="17" spans="2:25" x14ac:dyDescent="0.25">
      <c r="B17" s="10">
        <v>110</v>
      </c>
      <c r="C17" s="14">
        <v>110</v>
      </c>
      <c r="D17" s="14">
        <v>101</v>
      </c>
      <c r="E17" s="14">
        <v>100</v>
      </c>
      <c r="G17" s="19">
        <v>0.33300000000000002</v>
      </c>
      <c r="O17" s="10">
        <v>110</v>
      </c>
      <c r="P17" s="14">
        <v>110</v>
      </c>
      <c r="Q17" s="14">
        <v>101</v>
      </c>
      <c r="R17" s="14">
        <v>100</v>
      </c>
      <c r="T17" s="19">
        <v>0.33300000000000002</v>
      </c>
    </row>
    <row r="18" spans="2:25" x14ac:dyDescent="0.25">
      <c r="B18" s="10">
        <v>101</v>
      </c>
      <c r="C18" s="14" t="s">
        <v>28</v>
      </c>
      <c r="D18" s="15" t="s">
        <v>27</v>
      </c>
      <c r="E18" s="15" t="s">
        <v>24</v>
      </c>
      <c r="G18" s="20">
        <v>0.5</v>
      </c>
      <c r="O18" s="10">
        <v>101</v>
      </c>
      <c r="P18" s="14" t="s">
        <v>28</v>
      </c>
      <c r="Q18" s="15" t="s">
        <v>27</v>
      </c>
      <c r="R18" s="15" t="s">
        <v>24</v>
      </c>
      <c r="T18" s="20">
        <v>0.5</v>
      </c>
    </row>
    <row r="19" spans="2:25" x14ac:dyDescent="0.25">
      <c r="B19" s="9" t="s">
        <v>27</v>
      </c>
      <c r="C19" s="14" t="s">
        <v>28</v>
      </c>
      <c r="D19" s="14">
        <v>111</v>
      </c>
      <c r="E19" s="14">
        <v>110</v>
      </c>
      <c r="G19" s="18">
        <v>0.5</v>
      </c>
      <c r="O19" s="9" t="s">
        <v>27</v>
      </c>
      <c r="P19" s="14" t="s">
        <v>28</v>
      </c>
      <c r="Q19" s="14">
        <v>111</v>
      </c>
      <c r="R19" s="14">
        <v>110</v>
      </c>
      <c r="T19" s="18">
        <v>0.5</v>
      </c>
    </row>
    <row r="20" spans="2:25" x14ac:dyDescent="0.25">
      <c r="B20" s="10">
        <v>100</v>
      </c>
      <c r="C20" s="15" t="s">
        <v>24</v>
      </c>
      <c r="D20" s="15" t="s">
        <v>26</v>
      </c>
      <c r="E20" s="15" t="s">
        <v>15</v>
      </c>
      <c r="G20" s="19">
        <v>0.33300000000000002</v>
      </c>
      <c r="O20" s="10">
        <v>100</v>
      </c>
      <c r="P20" s="15" t="s">
        <v>24</v>
      </c>
      <c r="Q20" s="15" t="s">
        <v>26</v>
      </c>
      <c r="R20" s="15" t="s">
        <v>15</v>
      </c>
      <c r="T20" s="19">
        <v>0.33300000000000002</v>
      </c>
    </row>
    <row r="21" spans="2:25" x14ac:dyDescent="0.25">
      <c r="B21" s="9" t="s">
        <v>26</v>
      </c>
      <c r="C21" s="14" t="s">
        <v>28</v>
      </c>
      <c r="D21" s="15" t="s">
        <v>27</v>
      </c>
      <c r="E21" s="15" t="s">
        <v>24</v>
      </c>
      <c r="G21" s="20">
        <v>0.5</v>
      </c>
      <c r="O21" s="9" t="s">
        <v>26</v>
      </c>
      <c r="P21" s="14" t="s">
        <v>28</v>
      </c>
      <c r="Q21" s="15" t="s">
        <v>27</v>
      </c>
      <c r="R21" s="15" t="s">
        <v>24</v>
      </c>
      <c r="T21" s="20">
        <v>0.5</v>
      </c>
    </row>
    <row r="22" spans="2:25" x14ac:dyDescent="0.25">
      <c r="B22" s="9" t="s">
        <v>24</v>
      </c>
      <c r="C22" s="14">
        <v>110</v>
      </c>
      <c r="D22" s="14">
        <v>101</v>
      </c>
      <c r="E22" s="14">
        <v>100</v>
      </c>
      <c r="G22" s="19">
        <v>0.33300000000000002</v>
      </c>
      <c r="O22" s="9" t="s">
        <v>24</v>
      </c>
      <c r="P22" s="14">
        <v>110</v>
      </c>
      <c r="Q22" s="14">
        <v>101</v>
      </c>
      <c r="R22" s="14">
        <v>100</v>
      </c>
      <c r="T22" s="19">
        <v>0.33300000000000002</v>
      </c>
    </row>
    <row r="23" spans="2:25" x14ac:dyDescent="0.25">
      <c r="B23" s="9" t="s">
        <v>15</v>
      </c>
      <c r="C23" s="15" t="s">
        <v>24</v>
      </c>
      <c r="D23" s="15" t="s">
        <v>26</v>
      </c>
      <c r="E23" s="15" t="s">
        <v>15</v>
      </c>
      <c r="G23" s="19">
        <v>0.33300000000000002</v>
      </c>
      <c r="O23" s="9" t="s">
        <v>15</v>
      </c>
      <c r="P23" s="15" t="s">
        <v>24</v>
      </c>
      <c r="Q23" s="15" t="s">
        <v>26</v>
      </c>
      <c r="R23" s="15" t="s">
        <v>15</v>
      </c>
      <c r="T23" s="19">
        <v>0.33300000000000002</v>
      </c>
    </row>
    <row r="25" spans="2:25" x14ac:dyDescent="0.25">
      <c r="B25" s="8"/>
      <c r="C25" s="13">
        <v>111</v>
      </c>
      <c r="D25" s="11">
        <v>110</v>
      </c>
      <c r="E25" s="11">
        <v>101</v>
      </c>
      <c r="F25" s="13" t="s">
        <v>27</v>
      </c>
      <c r="G25" s="11">
        <v>100</v>
      </c>
      <c r="H25" s="13" t="s">
        <v>26</v>
      </c>
      <c r="I25" s="13" t="s">
        <v>24</v>
      </c>
      <c r="J25" s="13" t="s">
        <v>15</v>
      </c>
      <c r="L25" s="13" t="s">
        <v>30</v>
      </c>
      <c r="O25" s="8"/>
      <c r="P25" s="13">
        <v>111</v>
      </c>
      <c r="Q25" s="11">
        <v>110</v>
      </c>
      <c r="R25" s="11">
        <v>101</v>
      </c>
      <c r="S25" s="13" t="s">
        <v>27</v>
      </c>
      <c r="T25" s="11">
        <v>100</v>
      </c>
      <c r="U25" s="13" t="s">
        <v>26</v>
      </c>
      <c r="V25" s="13" t="s">
        <v>24</v>
      </c>
      <c r="W25" s="13" t="s">
        <v>15</v>
      </c>
      <c r="Y25" s="13" t="s">
        <v>30</v>
      </c>
    </row>
    <row r="26" spans="2:25" x14ac:dyDescent="0.25">
      <c r="B26" s="9">
        <v>111</v>
      </c>
      <c r="C26" s="19">
        <v>0.5</v>
      </c>
      <c r="D26" s="19">
        <v>0.5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L26" s="21">
        <f>ROUND(SUM(C26:J26),0)</f>
        <v>1</v>
      </c>
      <c r="O26" s="9">
        <v>111</v>
      </c>
      <c r="P26" s="19">
        <v>0.5</v>
      </c>
      <c r="Q26" s="19">
        <v>0.5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Y26" s="21">
        <f>ROUND(SUM(P26:W26),0)</f>
        <v>1</v>
      </c>
    </row>
    <row r="27" spans="2:25" x14ac:dyDescent="0.25">
      <c r="B27" s="10">
        <v>110</v>
      </c>
      <c r="C27" s="19">
        <v>0</v>
      </c>
      <c r="D27" s="19">
        <v>0.33300000000000002</v>
      </c>
      <c r="E27" s="19">
        <v>0.33300000000000002</v>
      </c>
      <c r="F27" s="19">
        <v>0</v>
      </c>
      <c r="G27" s="19">
        <v>0.33300000000000002</v>
      </c>
      <c r="H27" s="19">
        <v>0</v>
      </c>
      <c r="I27" s="19">
        <v>0</v>
      </c>
      <c r="J27" s="19">
        <v>0</v>
      </c>
      <c r="L27" s="21">
        <f t="shared" ref="L27:L33" si="0">ROUND(SUM(C27:J27),0)</f>
        <v>1</v>
      </c>
      <c r="O27" s="10">
        <v>110</v>
      </c>
      <c r="P27" s="19">
        <v>0</v>
      </c>
      <c r="Q27" s="19">
        <v>0.33300000000000002</v>
      </c>
      <c r="R27" s="19">
        <v>0.33300000000000002</v>
      </c>
      <c r="S27" s="19">
        <v>0</v>
      </c>
      <c r="T27" s="19">
        <v>0.33300000000000002</v>
      </c>
      <c r="U27" s="19">
        <v>0</v>
      </c>
      <c r="V27" s="19">
        <v>0</v>
      </c>
      <c r="W27" s="19">
        <v>0</v>
      </c>
      <c r="Y27" s="21">
        <f t="shared" ref="Y27:Y33" si="1">ROUND(SUM(P27:W27),0)</f>
        <v>1</v>
      </c>
    </row>
    <row r="28" spans="2:25" x14ac:dyDescent="0.25">
      <c r="B28" s="10">
        <v>101</v>
      </c>
      <c r="C28" s="19">
        <v>0</v>
      </c>
      <c r="D28" s="19">
        <v>0</v>
      </c>
      <c r="E28" s="19">
        <v>0</v>
      </c>
      <c r="F28" s="19">
        <v>0.5</v>
      </c>
      <c r="G28" s="19">
        <v>0</v>
      </c>
      <c r="H28" s="19">
        <v>0</v>
      </c>
      <c r="I28" s="19">
        <v>0.5</v>
      </c>
      <c r="J28" s="19">
        <v>0</v>
      </c>
      <c r="L28" s="21">
        <f t="shared" si="0"/>
        <v>1</v>
      </c>
      <c r="O28" s="10">
        <v>101</v>
      </c>
      <c r="P28" s="19">
        <v>0</v>
      </c>
      <c r="Q28" s="19">
        <v>0</v>
      </c>
      <c r="R28" s="19">
        <v>0</v>
      </c>
      <c r="S28" s="19">
        <v>0.5</v>
      </c>
      <c r="T28" s="19">
        <v>0</v>
      </c>
      <c r="U28" s="19">
        <v>0</v>
      </c>
      <c r="V28" s="19">
        <v>0.5</v>
      </c>
      <c r="W28" s="19">
        <v>0</v>
      </c>
      <c r="Y28" s="21">
        <f t="shared" si="1"/>
        <v>1</v>
      </c>
    </row>
    <row r="29" spans="2:25" x14ac:dyDescent="0.25">
      <c r="B29" s="9" t="s">
        <v>27</v>
      </c>
      <c r="C29" s="19">
        <v>0.5</v>
      </c>
      <c r="D29" s="19">
        <v>0.5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L29" s="21">
        <f t="shared" si="0"/>
        <v>1</v>
      </c>
      <c r="O29" s="9" t="s">
        <v>27</v>
      </c>
      <c r="P29" s="19">
        <v>0.5</v>
      </c>
      <c r="Q29" s="19">
        <v>0.5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Y29" s="21">
        <f t="shared" si="1"/>
        <v>1</v>
      </c>
    </row>
    <row r="30" spans="2:25" x14ac:dyDescent="0.25">
      <c r="B30" s="10">
        <v>100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0.33300000000000002</v>
      </c>
      <c r="I30" s="19">
        <v>0.33300000000000002</v>
      </c>
      <c r="J30" s="19">
        <v>0.33300000000000002</v>
      </c>
      <c r="L30" s="21">
        <f t="shared" si="0"/>
        <v>1</v>
      </c>
      <c r="O30" s="10">
        <v>100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0.33300000000000002</v>
      </c>
      <c r="V30" s="19">
        <v>0.33300000000000002</v>
      </c>
      <c r="W30" s="19">
        <v>0.33300000000000002</v>
      </c>
      <c r="Y30" s="21">
        <f t="shared" si="1"/>
        <v>1</v>
      </c>
    </row>
    <row r="31" spans="2:25" x14ac:dyDescent="0.25">
      <c r="B31" s="9" t="s">
        <v>26</v>
      </c>
      <c r="C31" s="19">
        <v>0</v>
      </c>
      <c r="D31" s="19">
        <v>0</v>
      </c>
      <c r="E31" s="19">
        <v>0</v>
      </c>
      <c r="F31" s="19">
        <v>0.5</v>
      </c>
      <c r="G31" s="19">
        <v>0</v>
      </c>
      <c r="H31" s="19">
        <v>0</v>
      </c>
      <c r="I31" s="19">
        <v>0.5</v>
      </c>
      <c r="J31" s="19">
        <v>0</v>
      </c>
      <c r="L31" s="21">
        <f t="shared" si="0"/>
        <v>1</v>
      </c>
      <c r="O31" s="9" t="s">
        <v>26</v>
      </c>
      <c r="P31" s="19">
        <v>0</v>
      </c>
      <c r="Q31" s="19">
        <v>0</v>
      </c>
      <c r="R31" s="19">
        <v>0</v>
      </c>
      <c r="S31" s="19">
        <v>0.5</v>
      </c>
      <c r="T31" s="19">
        <v>0</v>
      </c>
      <c r="U31" s="19">
        <v>0</v>
      </c>
      <c r="V31" s="19">
        <v>0.5</v>
      </c>
      <c r="W31" s="19">
        <v>0</v>
      </c>
      <c r="Y31" s="21">
        <f t="shared" si="1"/>
        <v>1</v>
      </c>
    </row>
    <row r="32" spans="2:25" x14ac:dyDescent="0.25">
      <c r="B32" s="9" t="s">
        <v>24</v>
      </c>
      <c r="C32" s="19">
        <v>0</v>
      </c>
      <c r="D32" s="19">
        <v>0.33300000000000002</v>
      </c>
      <c r="E32" s="19">
        <v>0.33300000000000002</v>
      </c>
      <c r="F32" s="19">
        <v>0</v>
      </c>
      <c r="G32" s="19">
        <v>0.33300000000000002</v>
      </c>
      <c r="H32" s="19">
        <v>0</v>
      </c>
      <c r="I32" s="19">
        <v>0</v>
      </c>
      <c r="J32" s="19">
        <v>0</v>
      </c>
      <c r="L32" s="21">
        <f t="shared" si="0"/>
        <v>1</v>
      </c>
      <c r="O32" s="9" t="s">
        <v>24</v>
      </c>
      <c r="P32" s="19">
        <v>0</v>
      </c>
      <c r="Q32" s="19">
        <v>0.33300000000000002</v>
      </c>
      <c r="R32" s="19">
        <v>0.33300000000000002</v>
      </c>
      <c r="S32" s="19">
        <v>0</v>
      </c>
      <c r="T32" s="19">
        <v>0.33300000000000002</v>
      </c>
      <c r="U32" s="19">
        <v>0</v>
      </c>
      <c r="V32" s="19">
        <v>0</v>
      </c>
      <c r="W32" s="19">
        <v>0</v>
      </c>
      <c r="Y32" s="21">
        <f t="shared" si="1"/>
        <v>1</v>
      </c>
    </row>
    <row r="33" spans="2:25" x14ac:dyDescent="0.25">
      <c r="B33" s="9" t="s">
        <v>15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0.33300000000000002</v>
      </c>
      <c r="I33" s="19">
        <v>0.33300000000000002</v>
      </c>
      <c r="J33" s="19">
        <v>0.33300000000000002</v>
      </c>
      <c r="L33" s="21">
        <f t="shared" si="0"/>
        <v>1</v>
      </c>
      <c r="O33" s="9" t="s">
        <v>15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0.33300000000000002</v>
      </c>
      <c r="V33" s="19">
        <v>0.33300000000000002</v>
      </c>
      <c r="W33" s="19">
        <v>0.33300000000000002</v>
      </c>
      <c r="Y33" s="21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B4C2-720C-46DC-8F55-B7CD9A8F78DA}">
  <dimension ref="A1:M36"/>
  <sheetViews>
    <sheetView workbookViewId="0">
      <selection activeCell="E19" sqref="A17:E19"/>
    </sheetView>
  </sheetViews>
  <sheetFormatPr defaultRowHeight="15" x14ac:dyDescent="0.25"/>
  <cols>
    <col min="1" max="1" width="1.85546875" customWidth="1"/>
    <col min="2" max="2" width="4.42578125" customWidth="1"/>
    <col min="3" max="10" width="5.28515625" customWidth="1"/>
    <col min="11" max="11" width="2.42578125" customWidth="1"/>
    <col min="12" max="12" width="6.140625" customWidth="1"/>
    <col min="13" max="13" width="4.42578125" customWidth="1"/>
  </cols>
  <sheetData>
    <row r="1" spans="1:13" ht="15.75" x14ac:dyDescent="0.25">
      <c r="A1" s="22" t="s">
        <v>34</v>
      </c>
      <c r="B1" s="22"/>
      <c r="M1" s="4"/>
    </row>
    <row r="2" spans="1:13" ht="15.75" x14ac:dyDescent="0.25">
      <c r="A2" s="187" t="s">
        <v>33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8"/>
    </row>
    <row r="3" spans="1:13" x14ac:dyDescent="0.25">
      <c r="A3" s="3" t="s">
        <v>10</v>
      </c>
      <c r="B3" s="3"/>
      <c r="C3" s="3" t="s">
        <v>11</v>
      </c>
      <c r="M3" s="4"/>
    </row>
    <row r="4" spans="1:13" x14ac:dyDescent="0.25">
      <c r="B4" s="8"/>
      <c r="C4" s="11">
        <v>2</v>
      </c>
      <c r="D4" s="11">
        <v>3</v>
      </c>
      <c r="E4" s="11">
        <v>0</v>
      </c>
      <c r="G4" s="16" t="s">
        <v>29</v>
      </c>
      <c r="M4" s="4"/>
    </row>
    <row r="5" spans="1:13" x14ac:dyDescent="0.25">
      <c r="B5" s="9">
        <v>111</v>
      </c>
      <c r="C5" s="14" t="s">
        <v>28</v>
      </c>
      <c r="D5" s="14">
        <v>111</v>
      </c>
      <c r="E5" s="14">
        <v>110</v>
      </c>
      <c r="G5" s="18">
        <v>0.5</v>
      </c>
      <c r="M5" s="4"/>
    </row>
    <row r="6" spans="1:13" x14ac:dyDescent="0.25">
      <c r="B6" s="10">
        <v>110</v>
      </c>
      <c r="C6" s="14">
        <v>110</v>
      </c>
      <c r="D6" s="14">
        <v>101</v>
      </c>
      <c r="E6" s="14">
        <v>100</v>
      </c>
      <c r="G6" s="19">
        <v>0.33300000000000002</v>
      </c>
      <c r="M6" s="4"/>
    </row>
    <row r="7" spans="1:13" x14ac:dyDescent="0.25">
      <c r="B7" s="10">
        <v>101</v>
      </c>
      <c r="C7" s="14" t="s">
        <v>28</v>
      </c>
      <c r="D7" s="15" t="s">
        <v>27</v>
      </c>
      <c r="E7" s="15" t="s">
        <v>24</v>
      </c>
      <c r="G7" s="20">
        <v>0.5</v>
      </c>
      <c r="M7" s="4"/>
    </row>
    <row r="8" spans="1:13" x14ac:dyDescent="0.25">
      <c r="B8" s="9" t="s">
        <v>27</v>
      </c>
      <c r="C8" s="14" t="s">
        <v>28</v>
      </c>
      <c r="D8" s="14">
        <v>111</v>
      </c>
      <c r="E8" s="14">
        <v>110</v>
      </c>
      <c r="G8" s="18">
        <v>0.5</v>
      </c>
      <c r="M8" s="4"/>
    </row>
    <row r="9" spans="1:13" x14ac:dyDescent="0.25">
      <c r="B9" s="10">
        <v>100</v>
      </c>
      <c r="C9" s="15" t="s">
        <v>24</v>
      </c>
      <c r="D9" s="15" t="s">
        <v>26</v>
      </c>
      <c r="E9" s="15" t="s">
        <v>15</v>
      </c>
      <c r="G9" s="19">
        <v>0.33300000000000002</v>
      </c>
      <c r="M9" s="4"/>
    </row>
    <row r="10" spans="1:13" x14ac:dyDescent="0.25">
      <c r="B10" s="9" t="s">
        <v>26</v>
      </c>
      <c r="C10" s="14" t="s">
        <v>28</v>
      </c>
      <c r="D10" s="15" t="s">
        <v>27</v>
      </c>
      <c r="E10" s="15" t="s">
        <v>24</v>
      </c>
      <c r="G10" s="20">
        <v>0.5</v>
      </c>
      <c r="M10" s="4"/>
    </row>
    <row r="11" spans="1:13" x14ac:dyDescent="0.25">
      <c r="B11" s="9" t="s">
        <v>24</v>
      </c>
      <c r="C11" s="14">
        <v>110</v>
      </c>
      <c r="D11" s="14">
        <v>101</v>
      </c>
      <c r="E11" s="14">
        <v>100</v>
      </c>
      <c r="G11" s="19">
        <v>0.33300000000000002</v>
      </c>
      <c r="M11" s="4"/>
    </row>
    <row r="12" spans="1:13" x14ac:dyDescent="0.25">
      <c r="B12" s="9" t="s">
        <v>15</v>
      </c>
      <c r="C12" s="15" t="s">
        <v>24</v>
      </c>
      <c r="D12" s="15" t="s">
        <v>26</v>
      </c>
      <c r="E12" s="15" t="s">
        <v>15</v>
      </c>
      <c r="G12" s="19">
        <v>0.33300000000000002</v>
      </c>
      <c r="M12" s="4"/>
    </row>
    <row r="13" spans="1:13" x14ac:dyDescent="0.25">
      <c r="M13" s="4"/>
    </row>
    <row r="14" spans="1:13" x14ac:dyDescent="0.25">
      <c r="B14" s="8"/>
      <c r="C14" s="13">
        <v>111</v>
      </c>
      <c r="D14" s="11">
        <v>110</v>
      </c>
      <c r="E14" s="11">
        <v>101</v>
      </c>
      <c r="F14" s="13" t="s">
        <v>27</v>
      </c>
      <c r="G14" s="11">
        <v>100</v>
      </c>
      <c r="H14" s="13" t="s">
        <v>26</v>
      </c>
      <c r="I14" s="13" t="s">
        <v>24</v>
      </c>
      <c r="J14" s="13" t="s">
        <v>15</v>
      </c>
      <c r="L14" s="13" t="s">
        <v>30</v>
      </c>
      <c r="M14" s="4"/>
    </row>
    <row r="15" spans="1:13" x14ac:dyDescent="0.25">
      <c r="B15" s="9">
        <v>111</v>
      </c>
      <c r="C15" s="19">
        <v>0.5</v>
      </c>
      <c r="D15" s="19">
        <v>0.5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L15" s="21">
        <f>ROUND(SUM(C15:J15),0)</f>
        <v>1</v>
      </c>
      <c r="M15" s="4"/>
    </row>
    <row r="16" spans="1:13" x14ac:dyDescent="0.25">
      <c r="B16" s="10">
        <v>110</v>
      </c>
      <c r="C16" s="19">
        <v>0</v>
      </c>
      <c r="D16" s="19">
        <v>0.33300000000000002</v>
      </c>
      <c r="E16" s="19">
        <v>0.33300000000000002</v>
      </c>
      <c r="F16" s="19">
        <v>0</v>
      </c>
      <c r="G16" s="19">
        <v>0.33300000000000002</v>
      </c>
      <c r="H16" s="19">
        <v>0</v>
      </c>
      <c r="I16" s="19">
        <v>0</v>
      </c>
      <c r="J16" s="19">
        <v>0</v>
      </c>
      <c r="L16" s="21">
        <f t="shared" ref="L16:L22" si="0">ROUND(SUM(C16:J16),0)</f>
        <v>1</v>
      </c>
      <c r="M16" s="4"/>
    </row>
    <row r="17" spans="2:13" x14ac:dyDescent="0.25">
      <c r="B17" s="10">
        <v>101</v>
      </c>
      <c r="C17" s="19">
        <v>0</v>
      </c>
      <c r="D17" s="19">
        <v>0</v>
      </c>
      <c r="E17" s="19">
        <v>0</v>
      </c>
      <c r="F17" s="19">
        <v>0.5</v>
      </c>
      <c r="G17" s="19">
        <v>0</v>
      </c>
      <c r="H17" s="19">
        <v>0</v>
      </c>
      <c r="I17" s="19">
        <v>0.5</v>
      </c>
      <c r="J17" s="19">
        <v>0</v>
      </c>
      <c r="L17" s="21">
        <f t="shared" si="0"/>
        <v>1</v>
      </c>
      <c r="M17" s="4"/>
    </row>
    <row r="18" spans="2:13" x14ac:dyDescent="0.25">
      <c r="B18" s="9" t="s">
        <v>27</v>
      </c>
      <c r="C18" s="19">
        <v>0.5</v>
      </c>
      <c r="D18" s="19">
        <v>0.5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L18" s="21">
        <f t="shared" si="0"/>
        <v>1</v>
      </c>
      <c r="M18" s="4"/>
    </row>
    <row r="19" spans="2:13" x14ac:dyDescent="0.25">
      <c r="B19" s="10">
        <v>100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0.33300000000000002</v>
      </c>
      <c r="I19" s="19">
        <v>0.33300000000000002</v>
      </c>
      <c r="J19" s="19">
        <v>0.33300000000000002</v>
      </c>
      <c r="L19" s="21">
        <f t="shared" si="0"/>
        <v>1</v>
      </c>
      <c r="M19" s="4"/>
    </row>
    <row r="20" spans="2:13" x14ac:dyDescent="0.25">
      <c r="B20" s="9" t="s">
        <v>26</v>
      </c>
      <c r="C20" s="19">
        <v>0</v>
      </c>
      <c r="D20" s="19">
        <v>0</v>
      </c>
      <c r="E20" s="19">
        <v>0</v>
      </c>
      <c r="F20" s="19">
        <v>0.5</v>
      </c>
      <c r="G20" s="19">
        <v>0</v>
      </c>
      <c r="H20" s="19">
        <v>0</v>
      </c>
      <c r="I20" s="19">
        <v>0.5</v>
      </c>
      <c r="J20" s="19">
        <v>0</v>
      </c>
      <c r="L20" s="21">
        <f t="shared" si="0"/>
        <v>1</v>
      </c>
      <c r="M20" s="4"/>
    </row>
    <row r="21" spans="2:13" x14ac:dyDescent="0.25">
      <c r="B21" s="9" t="s">
        <v>24</v>
      </c>
      <c r="C21" s="19">
        <v>0</v>
      </c>
      <c r="D21" s="19">
        <v>0.33300000000000002</v>
      </c>
      <c r="E21" s="19">
        <v>0.33300000000000002</v>
      </c>
      <c r="F21" s="19">
        <v>0</v>
      </c>
      <c r="G21" s="19">
        <v>0.33300000000000002</v>
      </c>
      <c r="H21" s="19">
        <v>0</v>
      </c>
      <c r="I21" s="19">
        <v>0</v>
      </c>
      <c r="J21" s="19">
        <v>0</v>
      </c>
      <c r="L21" s="21">
        <f t="shared" si="0"/>
        <v>1</v>
      </c>
      <c r="M21" s="4"/>
    </row>
    <row r="22" spans="2:13" x14ac:dyDescent="0.25">
      <c r="B22" s="9" t="s">
        <v>15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0.33300000000000002</v>
      </c>
      <c r="I22" s="19">
        <v>0.33300000000000002</v>
      </c>
      <c r="J22" s="19">
        <v>0.33300000000000002</v>
      </c>
      <c r="L22" s="21">
        <f t="shared" si="0"/>
        <v>1</v>
      </c>
      <c r="M22" s="4"/>
    </row>
    <row r="23" spans="2:13" x14ac:dyDescent="0.25">
      <c r="M23" s="4"/>
    </row>
    <row r="24" spans="2:13" x14ac:dyDescent="0.25">
      <c r="M24" s="4"/>
    </row>
    <row r="25" spans="2:13" x14ac:dyDescent="0.25">
      <c r="M25" s="4"/>
    </row>
    <row r="26" spans="2:13" x14ac:dyDescent="0.25">
      <c r="M26" s="4"/>
    </row>
    <row r="27" spans="2:13" x14ac:dyDescent="0.25">
      <c r="M27" s="4"/>
    </row>
    <row r="28" spans="2:13" x14ac:dyDescent="0.25">
      <c r="M28" s="4"/>
    </row>
    <row r="29" spans="2:13" x14ac:dyDescent="0.25">
      <c r="M29" s="4"/>
    </row>
    <row r="30" spans="2:13" x14ac:dyDescent="0.25">
      <c r="M30" s="4"/>
    </row>
    <row r="31" spans="2:13" x14ac:dyDescent="0.25">
      <c r="M31" s="4"/>
    </row>
    <row r="32" spans="2:13" x14ac:dyDescent="0.25">
      <c r="M32" s="4"/>
    </row>
    <row r="33" spans="13:13" x14ac:dyDescent="0.25">
      <c r="M33" s="4"/>
    </row>
    <row r="34" spans="13:13" x14ac:dyDescent="0.25">
      <c r="M34" s="4"/>
    </row>
    <row r="35" spans="13:13" x14ac:dyDescent="0.25">
      <c r="M35" s="4"/>
    </row>
    <row r="36" spans="13:13" x14ac:dyDescent="0.25">
      <c r="M36" s="4"/>
    </row>
  </sheetData>
  <mergeCells count="1"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2003-BB29-42E2-8C56-B72B5B5AE01B}">
  <dimension ref="A1:AU108"/>
  <sheetViews>
    <sheetView topLeftCell="A61" workbookViewId="0">
      <selection activeCell="M84" sqref="M84"/>
    </sheetView>
  </sheetViews>
  <sheetFormatPr defaultRowHeight="15" x14ac:dyDescent="0.25"/>
  <cols>
    <col min="1" max="1" width="5.5703125" customWidth="1"/>
    <col min="2" max="2" width="4.140625" customWidth="1"/>
    <col min="3" max="4" width="5.28515625" customWidth="1"/>
    <col min="5" max="5" width="5.85546875" customWidth="1"/>
    <col min="6" max="22" width="5.28515625" customWidth="1"/>
    <col min="23" max="24" width="6" customWidth="1"/>
    <col min="25" max="25" width="4.28515625" customWidth="1"/>
    <col min="26" max="45" width="4" bestFit="1" customWidth="1"/>
    <col min="46" max="46" width="2.85546875" customWidth="1"/>
    <col min="47" max="47" width="4.85546875" bestFit="1" customWidth="1"/>
  </cols>
  <sheetData>
    <row r="1" spans="1:20" ht="15.75" x14ac:dyDescent="0.25">
      <c r="A1" s="187" t="s">
        <v>36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23"/>
      <c r="N1" s="24"/>
      <c r="O1" s="24"/>
      <c r="P1" s="24"/>
      <c r="Q1" s="24"/>
    </row>
    <row r="2" spans="1:20" ht="15.75" x14ac:dyDescent="0.25">
      <c r="A2" s="187" t="s">
        <v>35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23"/>
    </row>
    <row r="3" spans="1:20" x14ac:dyDescent="0.25">
      <c r="A3" s="3" t="s">
        <v>10</v>
      </c>
      <c r="B3" s="3"/>
      <c r="C3" s="3" t="s">
        <v>11</v>
      </c>
    </row>
    <row r="4" spans="1:20" x14ac:dyDescent="0.25">
      <c r="A4" s="3"/>
      <c r="B4" s="3"/>
      <c r="C4" s="3"/>
    </row>
    <row r="5" spans="1:20" x14ac:dyDescent="0.25">
      <c r="A5" s="2" t="s">
        <v>38</v>
      </c>
      <c r="B5" s="3"/>
      <c r="C5" s="3"/>
      <c r="D5" t="s">
        <v>39</v>
      </c>
    </row>
    <row r="6" spans="1:20" x14ac:dyDescent="0.25">
      <c r="A6" s="2" t="s">
        <v>50</v>
      </c>
      <c r="B6" s="3"/>
      <c r="C6" s="3"/>
    </row>
    <row r="7" spans="1:20" x14ac:dyDescent="0.25">
      <c r="A7" s="33"/>
      <c r="B7" s="189">
        <v>10</v>
      </c>
      <c r="C7" s="189"/>
      <c r="D7" s="189"/>
      <c r="E7" s="189"/>
      <c r="F7" s="189">
        <v>20</v>
      </c>
      <c r="G7" s="189"/>
      <c r="H7" s="189"/>
      <c r="I7" s="189"/>
      <c r="J7" s="189">
        <v>30</v>
      </c>
      <c r="K7" s="189"/>
      <c r="L7" s="189"/>
      <c r="M7" s="189"/>
      <c r="N7" s="26"/>
      <c r="O7" s="2"/>
      <c r="P7" s="2"/>
      <c r="Q7" s="25"/>
    </row>
    <row r="8" spans="1:20" x14ac:dyDescent="0.25">
      <c r="A8" s="7">
        <v>0</v>
      </c>
      <c r="B8" s="27">
        <v>10</v>
      </c>
      <c r="C8" s="28">
        <v>11</v>
      </c>
      <c r="D8" s="28">
        <v>12</v>
      </c>
      <c r="E8" s="28">
        <v>13</v>
      </c>
      <c r="F8" s="27">
        <v>20</v>
      </c>
      <c r="G8" s="7">
        <v>21</v>
      </c>
      <c r="H8" s="7">
        <v>22</v>
      </c>
      <c r="I8" s="7">
        <v>23</v>
      </c>
      <c r="J8" s="27">
        <v>30</v>
      </c>
      <c r="K8" s="7">
        <v>31</v>
      </c>
      <c r="L8" s="7">
        <v>32</v>
      </c>
      <c r="M8" s="7">
        <v>33</v>
      </c>
      <c r="N8" s="26"/>
      <c r="O8" s="2"/>
      <c r="P8" s="2"/>
      <c r="Q8" s="25"/>
    </row>
    <row r="9" spans="1:20" x14ac:dyDescent="0.25">
      <c r="A9" s="2" t="s">
        <v>40</v>
      </c>
      <c r="B9" s="29">
        <v>10</v>
      </c>
      <c r="C9" s="32">
        <v>11</v>
      </c>
      <c r="D9" s="32">
        <v>12</v>
      </c>
      <c r="E9" s="32">
        <v>13</v>
      </c>
      <c r="F9" s="29">
        <v>20</v>
      </c>
      <c r="G9" s="32">
        <v>21</v>
      </c>
      <c r="H9" s="32">
        <v>22</v>
      </c>
      <c r="I9" s="32">
        <v>23</v>
      </c>
      <c r="J9" s="29">
        <v>30</v>
      </c>
      <c r="K9" s="32">
        <v>31</v>
      </c>
      <c r="L9" s="32">
        <v>32</v>
      </c>
      <c r="M9" s="34">
        <v>33</v>
      </c>
      <c r="N9" s="36"/>
      <c r="O9" s="2"/>
      <c r="P9" s="2"/>
      <c r="Q9" s="25"/>
    </row>
    <row r="10" spans="1:20" x14ac:dyDescent="0.25">
      <c r="A10" s="2">
        <v>0</v>
      </c>
      <c r="B10" s="29">
        <v>100</v>
      </c>
      <c r="C10" s="32">
        <v>110</v>
      </c>
      <c r="D10" s="32">
        <v>120</v>
      </c>
      <c r="E10" s="32">
        <v>130</v>
      </c>
      <c r="F10" s="29">
        <v>200</v>
      </c>
      <c r="G10" s="32">
        <v>210</v>
      </c>
      <c r="H10" s="32">
        <v>220</v>
      </c>
      <c r="I10" s="32">
        <v>230</v>
      </c>
      <c r="J10" s="29">
        <v>300</v>
      </c>
      <c r="K10" s="32">
        <v>310</v>
      </c>
      <c r="L10" s="32">
        <v>320</v>
      </c>
      <c r="M10" s="34">
        <v>330</v>
      </c>
      <c r="N10" s="36"/>
      <c r="O10" s="1"/>
    </row>
    <row r="11" spans="1:20" x14ac:dyDescent="0.25">
      <c r="A11" s="2">
        <v>1</v>
      </c>
      <c r="B11" s="29">
        <v>101</v>
      </c>
      <c r="C11" s="30">
        <v>111</v>
      </c>
      <c r="D11" s="30">
        <v>121</v>
      </c>
      <c r="E11" s="30">
        <v>131</v>
      </c>
      <c r="F11" s="29">
        <v>201</v>
      </c>
      <c r="G11" s="30">
        <v>211</v>
      </c>
      <c r="H11" s="30">
        <v>221</v>
      </c>
      <c r="I11" s="30">
        <v>231</v>
      </c>
      <c r="J11" s="29">
        <v>301</v>
      </c>
      <c r="K11" s="30">
        <v>311</v>
      </c>
      <c r="L11" s="30">
        <v>321</v>
      </c>
      <c r="M11" s="35">
        <v>331</v>
      </c>
      <c r="N11" s="36"/>
      <c r="O11" s="1"/>
      <c r="P11" s="1"/>
    </row>
    <row r="12" spans="1:20" x14ac:dyDescent="0.25">
      <c r="A12" s="2">
        <v>2</v>
      </c>
      <c r="B12" s="29">
        <v>102</v>
      </c>
      <c r="C12" s="30">
        <v>112</v>
      </c>
      <c r="D12" s="30">
        <v>122</v>
      </c>
      <c r="E12" s="30">
        <v>132</v>
      </c>
      <c r="F12" s="29">
        <v>202</v>
      </c>
      <c r="G12" s="30">
        <v>212</v>
      </c>
      <c r="H12" s="30">
        <v>222</v>
      </c>
      <c r="I12" s="30">
        <v>232</v>
      </c>
      <c r="J12" s="29">
        <v>302</v>
      </c>
      <c r="K12" s="30">
        <v>312</v>
      </c>
      <c r="L12" s="30">
        <v>322</v>
      </c>
      <c r="M12" s="35">
        <v>332</v>
      </c>
      <c r="N12" s="36"/>
      <c r="O12" s="1"/>
      <c r="P12" s="1"/>
    </row>
    <row r="13" spans="1:20" x14ac:dyDescent="0.25">
      <c r="A13" s="2">
        <v>3</v>
      </c>
      <c r="B13" s="29">
        <v>103</v>
      </c>
      <c r="C13" s="30">
        <v>113</v>
      </c>
      <c r="D13" s="30">
        <v>123</v>
      </c>
      <c r="E13" s="30">
        <v>133</v>
      </c>
      <c r="F13" s="29">
        <v>203</v>
      </c>
      <c r="G13" s="30">
        <v>213</v>
      </c>
      <c r="H13" s="30">
        <v>223</v>
      </c>
      <c r="I13" s="30">
        <v>233</v>
      </c>
      <c r="J13" s="29">
        <v>303</v>
      </c>
      <c r="K13" s="30">
        <v>313</v>
      </c>
      <c r="L13" s="30">
        <v>323</v>
      </c>
      <c r="M13" s="35">
        <v>333</v>
      </c>
      <c r="N13" s="36"/>
      <c r="O13" s="1"/>
      <c r="P13" s="1"/>
    </row>
    <row r="14" spans="1:20" x14ac:dyDescent="0.25">
      <c r="A14" s="2"/>
      <c r="B14" s="3"/>
      <c r="C14" s="3"/>
    </row>
    <row r="15" spans="1:20" x14ac:dyDescent="0.25">
      <c r="A15" s="2"/>
      <c r="B15" s="3"/>
      <c r="C15" s="3"/>
    </row>
    <row r="16" spans="1:20" x14ac:dyDescent="0.25">
      <c r="A16" s="5" t="s">
        <v>45</v>
      </c>
      <c r="B16" s="28" t="s">
        <v>41</v>
      </c>
      <c r="C16" s="28" t="s">
        <v>42</v>
      </c>
      <c r="D16" s="28" t="s">
        <v>43</v>
      </c>
      <c r="E16" s="37" t="s">
        <v>44</v>
      </c>
      <c r="F16" s="39" t="s">
        <v>51</v>
      </c>
      <c r="H16" s="5" t="s">
        <v>45</v>
      </c>
      <c r="I16" s="28" t="s">
        <v>41</v>
      </c>
      <c r="J16" s="28" t="s">
        <v>42</v>
      </c>
      <c r="K16" s="28" t="s">
        <v>43</v>
      </c>
      <c r="L16" s="37" t="s">
        <v>44</v>
      </c>
      <c r="M16" s="39" t="s">
        <v>51</v>
      </c>
      <c r="O16" s="5" t="s">
        <v>45</v>
      </c>
      <c r="P16" s="28" t="s">
        <v>41</v>
      </c>
      <c r="Q16" s="28" t="s">
        <v>42</v>
      </c>
      <c r="R16" s="28" t="s">
        <v>43</v>
      </c>
      <c r="S16" s="37" t="s">
        <v>44</v>
      </c>
      <c r="T16" s="39" t="s">
        <v>51</v>
      </c>
    </row>
    <row r="17" spans="1:20" x14ac:dyDescent="0.25">
      <c r="A17" s="6">
        <v>1</v>
      </c>
      <c r="B17" s="25"/>
      <c r="C17" s="25"/>
      <c r="D17" s="25">
        <v>1</v>
      </c>
      <c r="E17" s="43">
        <v>1</v>
      </c>
      <c r="F17" s="38">
        <f>E17</f>
        <v>1</v>
      </c>
      <c r="H17" s="6">
        <v>2</v>
      </c>
      <c r="I17" s="25"/>
      <c r="J17" s="25"/>
      <c r="K17" s="25">
        <v>2</v>
      </c>
      <c r="L17" s="26">
        <f>I17+J17+K17</f>
        <v>2</v>
      </c>
      <c r="M17" s="38">
        <f>L17</f>
        <v>2</v>
      </c>
      <c r="O17" s="6">
        <v>3</v>
      </c>
      <c r="P17" s="25"/>
      <c r="Q17" s="25"/>
      <c r="R17" s="25">
        <v>3</v>
      </c>
      <c r="S17" s="26">
        <f>P17+Q17+R17</f>
        <v>3</v>
      </c>
      <c r="T17" s="38">
        <f>S17</f>
        <v>3</v>
      </c>
    </row>
    <row r="18" spans="1:20" x14ac:dyDescent="0.25">
      <c r="A18" s="31">
        <v>10</v>
      </c>
      <c r="C18">
        <v>1</v>
      </c>
      <c r="D18">
        <v>0</v>
      </c>
      <c r="E18" s="26">
        <f>B18+C18+D18</f>
        <v>1</v>
      </c>
      <c r="F18" s="38">
        <f>E18</f>
        <v>1</v>
      </c>
      <c r="H18" s="31">
        <v>20</v>
      </c>
      <c r="J18">
        <v>2</v>
      </c>
      <c r="K18">
        <v>0</v>
      </c>
      <c r="L18" s="26">
        <f>I18+J18+K18</f>
        <v>2</v>
      </c>
      <c r="M18" s="38">
        <f>L18</f>
        <v>2</v>
      </c>
      <c r="O18" s="31">
        <v>30</v>
      </c>
      <c r="P18">
        <v>0</v>
      </c>
      <c r="Q18">
        <v>3</v>
      </c>
      <c r="R18">
        <v>0</v>
      </c>
      <c r="S18" s="26">
        <f>P18+Q18+R18</f>
        <v>3</v>
      </c>
      <c r="T18" s="38">
        <f>S18</f>
        <v>3</v>
      </c>
    </row>
    <row r="19" spans="1:20" x14ac:dyDescent="0.25">
      <c r="A19" s="31">
        <v>100</v>
      </c>
      <c r="B19">
        <v>1</v>
      </c>
      <c r="C19">
        <v>0</v>
      </c>
      <c r="D19">
        <v>0</v>
      </c>
      <c r="E19" s="26">
        <f t="shared" ref="E19:E27" si="0">B19+C19+D19</f>
        <v>1</v>
      </c>
      <c r="F19" s="38">
        <f t="shared" ref="F19:F38" si="1">E19</f>
        <v>1</v>
      </c>
      <c r="H19" s="31">
        <v>200</v>
      </c>
      <c r="I19">
        <v>2</v>
      </c>
      <c r="J19">
        <v>0</v>
      </c>
      <c r="K19">
        <v>0</v>
      </c>
      <c r="L19" s="26">
        <f t="shared" ref="L19:L27" si="2">I19+J19+K19</f>
        <v>2</v>
      </c>
      <c r="M19" s="38">
        <f t="shared" ref="M19:M37" si="3">L19</f>
        <v>2</v>
      </c>
      <c r="O19" s="31">
        <v>300</v>
      </c>
      <c r="P19">
        <v>3</v>
      </c>
      <c r="Q19">
        <v>0</v>
      </c>
      <c r="R19">
        <v>0</v>
      </c>
      <c r="S19" s="26">
        <f t="shared" ref="S19:S27" si="4">P19+Q19+R19</f>
        <v>3</v>
      </c>
      <c r="T19" s="38">
        <f t="shared" ref="T19:T37" si="5">S19</f>
        <v>3</v>
      </c>
    </row>
    <row r="20" spans="1:20" x14ac:dyDescent="0.25">
      <c r="A20" s="31">
        <v>101</v>
      </c>
      <c r="B20">
        <v>1</v>
      </c>
      <c r="C20">
        <v>0</v>
      </c>
      <c r="D20">
        <v>1</v>
      </c>
      <c r="E20" s="26">
        <f t="shared" si="0"/>
        <v>2</v>
      </c>
      <c r="F20" s="38">
        <f t="shared" si="1"/>
        <v>2</v>
      </c>
      <c r="H20" s="31">
        <v>201</v>
      </c>
      <c r="I20">
        <v>2</v>
      </c>
      <c r="J20">
        <v>0</v>
      </c>
      <c r="K20">
        <v>1</v>
      </c>
      <c r="L20" s="26">
        <f t="shared" si="2"/>
        <v>3</v>
      </c>
      <c r="M20" s="38">
        <f t="shared" si="3"/>
        <v>3</v>
      </c>
      <c r="O20" s="31">
        <v>301</v>
      </c>
      <c r="P20">
        <v>3</v>
      </c>
      <c r="Q20">
        <v>0</v>
      </c>
      <c r="R20">
        <v>1</v>
      </c>
      <c r="S20" s="26">
        <f t="shared" si="4"/>
        <v>4</v>
      </c>
      <c r="T20" s="38">
        <f t="shared" si="5"/>
        <v>4</v>
      </c>
    </row>
    <row r="21" spans="1:20" x14ac:dyDescent="0.25">
      <c r="A21" s="31">
        <v>102</v>
      </c>
      <c r="B21">
        <v>1</v>
      </c>
      <c r="C21">
        <v>0</v>
      </c>
      <c r="D21">
        <v>2</v>
      </c>
      <c r="E21" s="26">
        <f t="shared" si="0"/>
        <v>3</v>
      </c>
      <c r="F21" s="38">
        <f t="shared" si="1"/>
        <v>3</v>
      </c>
      <c r="H21" s="31">
        <v>202</v>
      </c>
      <c r="I21">
        <v>2</v>
      </c>
      <c r="J21">
        <v>0</v>
      </c>
      <c r="K21">
        <v>2</v>
      </c>
      <c r="L21" s="26">
        <f t="shared" si="2"/>
        <v>4</v>
      </c>
      <c r="M21" s="38">
        <f t="shared" si="3"/>
        <v>4</v>
      </c>
      <c r="O21" s="31">
        <v>302</v>
      </c>
      <c r="P21">
        <v>3</v>
      </c>
      <c r="Q21">
        <v>0</v>
      </c>
      <c r="R21">
        <v>2</v>
      </c>
      <c r="S21" s="26">
        <f t="shared" si="4"/>
        <v>5</v>
      </c>
      <c r="T21" s="38">
        <f t="shared" si="5"/>
        <v>5</v>
      </c>
    </row>
    <row r="22" spans="1:20" x14ac:dyDescent="0.25">
      <c r="A22" s="31">
        <v>103</v>
      </c>
      <c r="B22">
        <v>1</v>
      </c>
      <c r="C22">
        <v>0</v>
      </c>
      <c r="D22">
        <v>3</v>
      </c>
      <c r="E22" s="26">
        <f t="shared" si="0"/>
        <v>4</v>
      </c>
      <c r="F22" s="38">
        <f t="shared" si="1"/>
        <v>4</v>
      </c>
      <c r="H22" s="31">
        <v>203</v>
      </c>
      <c r="I22">
        <v>2</v>
      </c>
      <c r="J22">
        <v>0</v>
      </c>
      <c r="K22">
        <v>3</v>
      </c>
      <c r="L22" s="26">
        <f t="shared" si="2"/>
        <v>5</v>
      </c>
      <c r="M22" s="38">
        <f t="shared" si="3"/>
        <v>5</v>
      </c>
      <c r="O22" s="31">
        <v>303</v>
      </c>
      <c r="P22">
        <v>3</v>
      </c>
      <c r="Q22">
        <v>0</v>
      </c>
      <c r="R22">
        <v>3</v>
      </c>
      <c r="S22" s="26">
        <f t="shared" si="4"/>
        <v>6</v>
      </c>
      <c r="T22" s="38">
        <f t="shared" si="5"/>
        <v>6</v>
      </c>
    </row>
    <row r="23" spans="1:20" x14ac:dyDescent="0.25">
      <c r="A23" s="4">
        <v>11</v>
      </c>
      <c r="C23">
        <v>1</v>
      </c>
      <c r="D23">
        <v>1</v>
      </c>
      <c r="E23" s="26">
        <f t="shared" si="0"/>
        <v>2</v>
      </c>
      <c r="F23" s="38">
        <f t="shared" si="1"/>
        <v>2</v>
      </c>
      <c r="H23" s="4">
        <v>21</v>
      </c>
      <c r="J23">
        <v>2</v>
      </c>
      <c r="K23">
        <v>1</v>
      </c>
      <c r="L23" s="26">
        <f t="shared" si="2"/>
        <v>3</v>
      </c>
      <c r="M23" s="38">
        <f t="shared" si="3"/>
        <v>3</v>
      </c>
      <c r="O23" s="4">
        <v>31</v>
      </c>
      <c r="P23">
        <v>0</v>
      </c>
      <c r="Q23">
        <v>3</v>
      </c>
      <c r="R23">
        <v>1</v>
      </c>
      <c r="S23" s="26">
        <f t="shared" si="4"/>
        <v>4</v>
      </c>
      <c r="T23" s="38">
        <f t="shared" si="5"/>
        <v>4</v>
      </c>
    </row>
    <row r="24" spans="1:20" x14ac:dyDescent="0.25">
      <c r="A24" s="4">
        <v>110</v>
      </c>
      <c r="B24">
        <v>1</v>
      </c>
      <c r="C24">
        <v>1</v>
      </c>
      <c r="D24">
        <v>0</v>
      </c>
      <c r="E24" s="26">
        <f t="shared" si="0"/>
        <v>2</v>
      </c>
      <c r="F24" s="38">
        <f t="shared" si="1"/>
        <v>2</v>
      </c>
      <c r="H24" s="4">
        <v>210</v>
      </c>
      <c r="I24">
        <v>2</v>
      </c>
      <c r="J24">
        <v>1</v>
      </c>
      <c r="K24">
        <v>0</v>
      </c>
      <c r="L24" s="26">
        <f t="shared" si="2"/>
        <v>3</v>
      </c>
      <c r="M24" s="38">
        <f t="shared" si="3"/>
        <v>3</v>
      </c>
      <c r="O24" s="4">
        <v>310</v>
      </c>
      <c r="P24">
        <v>3</v>
      </c>
      <c r="Q24">
        <v>1</v>
      </c>
      <c r="R24">
        <v>0</v>
      </c>
      <c r="S24" s="26">
        <f t="shared" si="4"/>
        <v>4</v>
      </c>
      <c r="T24" s="38">
        <f t="shared" si="5"/>
        <v>4</v>
      </c>
    </row>
    <row r="25" spans="1:20" x14ac:dyDescent="0.25">
      <c r="A25" s="31">
        <v>111</v>
      </c>
      <c r="B25">
        <v>1</v>
      </c>
      <c r="C25">
        <v>1</v>
      </c>
      <c r="D25">
        <v>1</v>
      </c>
      <c r="E25" s="26">
        <f t="shared" si="0"/>
        <v>3</v>
      </c>
      <c r="F25" s="38">
        <f t="shared" si="1"/>
        <v>3</v>
      </c>
      <c r="H25" s="31">
        <v>211</v>
      </c>
      <c r="I25">
        <v>2</v>
      </c>
      <c r="J25">
        <v>1</v>
      </c>
      <c r="K25">
        <v>1</v>
      </c>
      <c r="L25" s="26">
        <f t="shared" si="2"/>
        <v>4</v>
      </c>
      <c r="M25" s="38">
        <f t="shared" si="3"/>
        <v>4</v>
      </c>
      <c r="O25" s="31">
        <v>311</v>
      </c>
      <c r="P25">
        <v>3</v>
      </c>
      <c r="Q25">
        <v>1</v>
      </c>
      <c r="R25">
        <v>1</v>
      </c>
      <c r="S25" s="26">
        <f t="shared" si="4"/>
        <v>5</v>
      </c>
      <c r="T25" s="38">
        <f t="shared" si="5"/>
        <v>5</v>
      </c>
    </row>
    <row r="26" spans="1:20" x14ac:dyDescent="0.25">
      <c r="A26" s="31">
        <v>112</v>
      </c>
      <c r="B26">
        <v>1</v>
      </c>
      <c r="C26">
        <v>1</v>
      </c>
      <c r="D26">
        <v>2</v>
      </c>
      <c r="E26" s="26">
        <f t="shared" si="0"/>
        <v>4</v>
      </c>
      <c r="F26" s="38">
        <f t="shared" si="1"/>
        <v>4</v>
      </c>
      <c r="H26" s="31">
        <v>212</v>
      </c>
      <c r="I26">
        <v>2</v>
      </c>
      <c r="J26">
        <v>1</v>
      </c>
      <c r="K26">
        <v>2</v>
      </c>
      <c r="L26" s="26">
        <f t="shared" si="2"/>
        <v>5</v>
      </c>
      <c r="M26" s="38">
        <f t="shared" si="3"/>
        <v>5</v>
      </c>
      <c r="O26" s="31">
        <v>312</v>
      </c>
      <c r="P26">
        <v>3</v>
      </c>
      <c r="Q26">
        <v>1</v>
      </c>
      <c r="R26">
        <v>2</v>
      </c>
      <c r="S26" s="26">
        <f t="shared" si="4"/>
        <v>6</v>
      </c>
      <c r="T26" s="38">
        <f t="shared" si="5"/>
        <v>6</v>
      </c>
    </row>
    <row r="27" spans="1:20" x14ac:dyDescent="0.25">
      <c r="A27" s="31">
        <v>113</v>
      </c>
      <c r="B27">
        <v>1</v>
      </c>
      <c r="C27">
        <v>1</v>
      </c>
      <c r="D27">
        <v>3</v>
      </c>
      <c r="E27" s="26">
        <f t="shared" si="0"/>
        <v>5</v>
      </c>
      <c r="F27" s="38">
        <f t="shared" si="1"/>
        <v>5</v>
      </c>
      <c r="H27" s="31">
        <v>213</v>
      </c>
      <c r="I27">
        <v>2</v>
      </c>
      <c r="J27">
        <v>1</v>
      </c>
      <c r="K27">
        <v>3</v>
      </c>
      <c r="L27" s="26">
        <f t="shared" si="2"/>
        <v>6</v>
      </c>
      <c r="M27" s="38">
        <f t="shared" si="3"/>
        <v>6</v>
      </c>
      <c r="O27" s="31">
        <v>313</v>
      </c>
      <c r="P27">
        <v>3</v>
      </c>
      <c r="Q27">
        <v>1</v>
      </c>
      <c r="R27">
        <v>3</v>
      </c>
      <c r="S27" s="26">
        <f t="shared" si="4"/>
        <v>7</v>
      </c>
      <c r="T27" s="38">
        <f t="shared" si="5"/>
        <v>7</v>
      </c>
    </row>
    <row r="28" spans="1:20" x14ac:dyDescent="0.25">
      <c r="A28" s="4">
        <v>12</v>
      </c>
      <c r="C28">
        <v>1</v>
      </c>
      <c r="D28">
        <v>2</v>
      </c>
      <c r="E28" s="26">
        <f>B28+C28+D28</f>
        <v>3</v>
      </c>
      <c r="F28" s="38">
        <f t="shared" si="1"/>
        <v>3</v>
      </c>
      <c r="H28" s="4">
        <v>22</v>
      </c>
      <c r="J28">
        <v>2</v>
      </c>
      <c r="K28">
        <v>2</v>
      </c>
      <c r="L28" s="26">
        <f>I28+J28+K28</f>
        <v>4</v>
      </c>
      <c r="M28" s="38">
        <f t="shared" si="3"/>
        <v>4</v>
      </c>
      <c r="O28" s="4">
        <v>32</v>
      </c>
      <c r="Q28">
        <v>3</v>
      </c>
      <c r="R28">
        <v>2</v>
      </c>
      <c r="S28" s="26">
        <f>P28+Q28+R28</f>
        <v>5</v>
      </c>
      <c r="T28" s="38">
        <f t="shared" si="5"/>
        <v>5</v>
      </c>
    </row>
    <row r="29" spans="1:20" x14ac:dyDescent="0.25">
      <c r="A29" s="4">
        <v>120</v>
      </c>
      <c r="B29">
        <v>1</v>
      </c>
      <c r="C29">
        <v>2</v>
      </c>
      <c r="D29">
        <v>0</v>
      </c>
      <c r="E29" s="26">
        <f t="shared" ref="E29:E37" si="6">B29+C29+D29</f>
        <v>3</v>
      </c>
      <c r="F29" s="38">
        <f t="shared" si="1"/>
        <v>3</v>
      </c>
      <c r="H29" s="4">
        <v>220</v>
      </c>
      <c r="I29">
        <v>2</v>
      </c>
      <c r="J29">
        <v>2</v>
      </c>
      <c r="K29">
        <v>0</v>
      </c>
      <c r="L29" s="26">
        <f t="shared" ref="L29:L37" si="7">I29+J29+K29</f>
        <v>4</v>
      </c>
      <c r="M29" s="38">
        <f t="shared" si="3"/>
        <v>4</v>
      </c>
      <c r="O29" s="4">
        <v>320</v>
      </c>
      <c r="P29">
        <v>3</v>
      </c>
      <c r="Q29">
        <v>2</v>
      </c>
      <c r="R29">
        <v>0</v>
      </c>
      <c r="S29" s="26">
        <f t="shared" ref="S29:S37" si="8">P29+Q29+R29</f>
        <v>5</v>
      </c>
      <c r="T29" s="38">
        <f t="shared" si="5"/>
        <v>5</v>
      </c>
    </row>
    <row r="30" spans="1:20" x14ac:dyDescent="0.25">
      <c r="A30" s="31">
        <v>121</v>
      </c>
      <c r="B30">
        <v>1</v>
      </c>
      <c r="C30">
        <v>2</v>
      </c>
      <c r="D30">
        <v>1</v>
      </c>
      <c r="E30" s="26">
        <f t="shared" si="6"/>
        <v>4</v>
      </c>
      <c r="F30" s="38">
        <f t="shared" si="1"/>
        <v>4</v>
      </c>
      <c r="H30" s="31">
        <v>221</v>
      </c>
      <c r="I30">
        <v>2</v>
      </c>
      <c r="J30">
        <v>2</v>
      </c>
      <c r="K30">
        <v>1</v>
      </c>
      <c r="L30" s="26">
        <f t="shared" si="7"/>
        <v>5</v>
      </c>
      <c r="M30" s="38">
        <f t="shared" si="3"/>
        <v>5</v>
      </c>
      <c r="O30" s="31">
        <v>321</v>
      </c>
      <c r="P30">
        <v>3</v>
      </c>
      <c r="Q30">
        <v>2</v>
      </c>
      <c r="R30">
        <v>1</v>
      </c>
      <c r="S30" s="26">
        <f t="shared" si="8"/>
        <v>6</v>
      </c>
      <c r="T30" s="38">
        <f t="shared" si="5"/>
        <v>6</v>
      </c>
    </row>
    <row r="31" spans="1:20" x14ac:dyDescent="0.25">
      <c r="A31" s="31">
        <v>122</v>
      </c>
      <c r="B31">
        <v>1</v>
      </c>
      <c r="C31">
        <v>2</v>
      </c>
      <c r="D31">
        <v>2</v>
      </c>
      <c r="E31" s="26">
        <f t="shared" si="6"/>
        <v>5</v>
      </c>
      <c r="F31" s="38">
        <f t="shared" si="1"/>
        <v>5</v>
      </c>
      <c r="H31" s="31">
        <v>222</v>
      </c>
      <c r="I31">
        <v>2</v>
      </c>
      <c r="J31">
        <v>2</v>
      </c>
      <c r="K31">
        <v>2</v>
      </c>
      <c r="L31" s="26">
        <f t="shared" si="7"/>
        <v>6</v>
      </c>
      <c r="M31" s="38">
        <f t="shared" si="3"/>
        <v>6</v>
      </c>
      <c r="O31" s="31">
        <v>322</v>
      </c>
      <c r="P31">
        <v>3</v>
      </c>
      <c r="Q31">
        <v>2</v>
      </c>
      <c r="R31">
        <v>2</v>
      </c>
      <c r="S31" s="26">
        <f t="shared" si="8"/>
        <v>7</v>
      </c>
      <c r="T31" s="38">
        <f t="shared" si="5"/>
        <v>7</v>
      </c>
    </row>
    <row r="32" spans="1:20" x14ac:dyDescent="0.25">
      <c r="A32" s="31">
        <v>123</v>
      </c>
      <c r="B32">
        <v>1</v>
      </c>
      <c r="C32">
        <v>2</v>
      </c>
      <c r="D32">
        <v>3</v>
      </c>
      <c r="E32" s="26">
        <f t="shared" si="6"/>
        <v>6</v>
      </c>
      <c r="F32" s="38">
        <f t="shared" si="1"/>
        <v>6</v>
      </c>
      <c r="H32" s="31">
        <v>223</v>
      </c>
      <c r="I32">
        <v>2</v>
      </c>
      <c r="J32">
        <v>2</v>
      </c>
      <c r="K32">
        <v>3</v>
      </c>
      <c r="L32" s="26">
        <f t="shared" si="7"/>
        <v>7</v>
      </c>
      <c r="M32" s="38">
        <f t="shared" si="3"/>
        <v>7</v>
      </c>
      <c r="O32" s="31">
        <v>323</v>
      </c>
      <c r="P32">
        <v>3</v>
      </c>
      <c r="Q32">
        <v>2</v>
      </c>
      <c r="R32">
        <v>3</v>
      </c>
      <c r="S32" s="26">
        <f t="shared" si="8"/>
        <v>8</v>
      </c>
      <c r="T32" s="38">
        <f t="shared" si="5"/>
        <v>8</v>
      </c>
    </row>
    <row r="33" spans="1:20" x14ac:dyDescent="0.25">
      <c r="A33" s="4">
        <v>13</v>
      </c>
      <c r="C33">
        <v>1</v>
      </c>
      <c r="D33">
        <v>3</v>
      </c>
      <c r="E33" s="26">
        <f t="shared" si="6"/>
        <v>4</v>
      </c>
      <c r="F33" s="38">
        <f t="shared" si="1"/>
        <v>4</v>
      </c>
      <c r="H33" s="4">
        <v>23</v>
      </c>
      <c r="J33">
        <v>2</v>
      </c>
      <c r="K33">
        <v>3</v>
      </c>
      <c r="L33" s="26">
        <f t="shared" si="7"/>
        <v>5</v>
      </c>
      <c r="M33" s="38">
        <f t="shared" si="3"/>
        <v>5</v>
      </c>
      <c r="O33" s="4">
        <v>33</v>
      </c>
      <c r="Q33">
        <v>3</v>
      </c>
      <c r="R33">
        <v>3</v>
      </c>
      <c r="S33" s="26">
        <f t="shared" si="8"/>
        <v>6</v>
      </c>
      <c r="T33" s="38">
        <f t="shared" si="5"/>
        <v>6</v>
      </c>
    </row>
    <row r="34" spans="1:20" x14ac:dyDescent="0.25">
      <c r="A34" s="4">
        <v>130</v>
      </c>
      <c r="B34">
        <v>1</v>
      </c>
      <c r="C34">
        <v>3</v>
      </c>
      <c r="D34">
        <v>0</v>
      </c>
      <c r="E34" s="26">
        <f t="shared" si="6"/>
        <v>4</v>
      </c>
      <c r="F34" s="38">
        <f t="shared" si="1"/>
        <v>4</v>
      </c>
      <c r="H34" s="4">
        <v>230</v>
      </c>
      <c r="I34">
        <v>2</v>
      </c>
      <c r="J34">
        <v>3</v>
      </c>
      <c r="K34">
        <v>0</v>
      </c>
      <c r="L34" s="26">
        <f t="shared" si="7"/>
        <v>5</v>
      </c>
      <c r="M34" s="38">
        <f t="shared" si="3"/>
        <v>5</v>
      </c>
      <c r="O34" s="4">
        <v>330</v>
      </c>
      <c r="P34">
        <v>3</v>
      </c>
      <c r="Q34">
        <v>3</v>
      </c>
      <c r="R34">
        <v>0</v>
      </c>
      <c r="S34" s="26">
        <f t="shared" si="8"/>
        <v>6</v>
      </c>
      <c r="T34" s="38">
        <f t="shared" si="5"/>
        <v>6</v>
      </c>
    </row>
    <row r="35" spans="1:20" x14ac:dyDescent="0.25">
      <c r="A35" s="31">
        <v>131</v>
      </c>
      <c r="B35">
        <v>1</v>
      </c>
      <c r="C35">
        <v>3</v>
      </c>
      <c r="D35">
        <v>1</v>
      </c>
      <c r="E35" s="26">
        <f t="shared" si="6"/>
        <v>5</v>
      </c>
      <c r="F35" s="38">
        <f t="shared" si="1"/>
        <v>5</v>
      </c>
      <c r="H35" s="31">
        <v>231</v>
      </c>
      <c r="I35">
        <v>2</v>
      </c>
      <c r="J35">
        <v>3</v>
      </c>
      <c r="K35">
        <v>1</v>
      </c>
      <c r="L35" s="26">
        <f t="shared" si="7"/>
        <v>6</v>
      </c>
      <c r="M35" s="38">
        <f t="shared" si="3"/>
        <v>6</v>
      </c>
      <c r="O35" s="31">
        <v>331</v>
      </c>
      <c r="P35">
        <v>3</v>
      </c>
      <c r="Q35">
        <v>3</v>
      </c>
      <c r="R35">
        <v>1</v>
      </c>
      <c r="S35" s="26">
        <f t="shared" si="8"/>
        <v>7</v>
      </c>
      <c r="T35" s="38">
        <f t="shared" si="5"/>
        <v>7</v>
      </c>
    </row>
    <row r="36" spans="1:20" x14ac:dyDescent="0.25">
      <c r="A36" s="31">
        <v>132</v>
      </c>
      <c r="B36">
        <v>1</v>
      </c>
      <c r="C36">
        <v>3</v>
      </c>
      <c r="D36">
        <v>2</v>
      </c>
      <c r="E36" s="26">
        <f t="shared" si="6"/>
        <v>6</v>
      </c>
      <c r="F36" s="38">
        <f t="shared" si="1"/>
        <v>6</v>
      </c>
      <c r="H36" s="31">
        <v>232</v>
      </c>
      <c r="I36">
        <v>2</v>
      </c>
      <c r="J36">
        <v>3</v>
      </c>
      <c r="K36">
        <v>2</v>
      </c>
      <c r="L36" s="26">
        <f t="shared" si="7"/>
        <v>7</v>
      </c>
      <c r="M36" s="38">
        <f t="shared" si="3"/>
        <v>7</v>
      </c>
      <c r="O36" s="31">
        <v>332</v>
      </c>
      <c r="P36">
        <v>3</v>
      </c>
      <c r="Q36">
        <v>3</v>
      </c>
      <c r="R36">
        <v>2</v>
      </c>
      <c r="S36" s="26">
        <f t="shared" si="8"/>
        <v>8</v>
      </c>
      <c r="T36" s="38">
        <f t="shared" si="5"/>
        <v>8</v>
      </c>
    </row>
    <row r="37" spans="1:20" x14ac:dyDescent="0.25">
      <c r="A37" s="31">
        <v>133</v>
      </c>
      <c r="B37">
        <v>1</v>
      </c>
      <c r="C37">
        <v>3</v>
      </c>
      <c r="D37">
        <v>3</v>
      </c>
      <c r="E37" s="26">
        <f t="shared" si="6"/>
        <v>7</v>
      </c>
      <c r="F37" s="38">
        <f t="shared" si="1"/>
        <v>7</v>
      </c>
      <c r="H37" s="31">
        <v>233</v>
      </c>
      <c r="I37">
        <v>2</v>
      </c>
      <c r="J37">
        <v>3</v>
      </c>
      <c r="K37">
        <v>3</v>
      </c>
      <c r="L37" s="26">
        <f t="shared" si="7"/>
        <v>8</v>
      </c>
      <c r="M37" s="38">
        <f t="shared" si="3"/>
        <v>8</v>
      </c>
      <c r="O37" s="31">
        <v>333</v>
      </c>
      <c r="P37">
        <v>3</v>
      </c>
      <c r="Q37">
        <v>3</v>
      </c>
      <c r="R37">
        <v>3</v>
      </c>
      <c r="S37" s="26">
        <f t="shared" si="8"/>
        <v>9</v>
      </c>
      <c r="T37" s="38">
        <f t="shared" si="5"/>
        <v>9</v>
      </c>
    </row>
    <row r="38" spans="1:20" x14ac:dyDescent="0.25">
      <c r="A38" s="31">
        <v>0</v>
      </c>
      <c r="D38">
        <v>0</v>
      </c>
      <c r="E38" s="26">
        <v>0</v>
      </c>
      <c r="F38" s="38">
        <f t="shared" si="1"/>
        <v>0</v>
      </c>
    </row>
    <row r="39" spans="1:20" x14ac:dyDescent="0.25">
      <c r="A39" s="1"/>
      <c r="E39" s="25"/>
      <c r="K39" t="s">
        <v>52</v>
      </c>
      <c r="L39" s="28">
        <v>1</v>
      </c>
    </row>
    <row r="40" spans="1:20" x14ac:dyDescent="0.25">
      <c r="A40" s="1"/>
      <c r="E40" s="25"/>
      <c r="K40" t="s">
        <v>54</v>
      </c>
      <c r="L40" s="1" t="s">
        <v>7</v>
      </c>
      <c r="M40" t="s">
        <v>55</v>
      </c>
    </row>
    <row r="41" spans="1:20" x14ac:dyDescent="0.25">
      <c r="A41" s="1"/>
      <c r="E41" s="25"/>
      <c r="K41" t="s">
        <v>56</v>
      </c>
      <c r="L41" s="1" t="s">
        <v>7</v>
      </c>
      <c r="M41" t="s">
        <v>57</v>
      </c>
    </row>
    <row r="42" spans="1:20" x14ac:dyDescent="0.25">
      <c r="B42" s="8"/>
      <c r="C42" s="11">
        <v>2</v>
      </c>
      <c r="D42" s="11">
        <v>3</v>
      </c>
      <c r="E42" s="11">
        <v>0</v>
      </c>
      <c r="G42" s="16" t="s">
        <v>29</v>
      </c>
      <c r="K42" s="8" t="s">
        <v>53</v>
      </c>
      <c r="L42" s="11" t="s">
        <v>58</v>
      </c>
      <c r="N42" s="8" t="s">
        <v>53</v>
      </c>
      <c r="O42" s="11" t="s">
        <v>58</v>
      </c>
      <c r="Q42" s="8" t="s">
        <v>53</v>
      </c>
      <c r="R42" s="11" t="s">
        <v>58</v>
      </c>
      <c r="T42" s="50" t="s">
        <v>56</v>
      </c>
    </row>
    <row r="43" spans="1:20" x14ac:dyDescent="0.25">
      <c r="B43" s="10">
        <v>1</v>
      </c>
      <c r="C43" s="15">
        <v>20</v>
      </c>
      <c r="D43" s="14">
        <v>11</v>
      </c>
      <c r="E43" s="14">
        <v>10</v>
      </c>
      <c r="G43" s="44" t="e">
        <f>VLOOKUP(B43,$B$70:$B$85,1,0)</f>
        <v>#N/A</v>
      </c>
      <c r="K43" s="46">
        <v>40</v>
      </c>
      <c r="L43" s="40" t="str">
        <f t="shared" ref="L43:L61" si="9">IFERROR(IF(VLOOKUP($K43,$B$43:$E$62,L$39,0)=K43,"AV","NF"),"NF")</f>
        <v>NF</v>
      </c>
      <c r="N43" s="48">
        <v>31</v>
      </c>
      <c r="O43" s="40" t="str">
        <f t="shared" ref="O43:O61" si="10">IFERROR(IF(VLOOKUP($N43,$B$43:$E$62,L$39,0)=N43,"AV","NF"),"NF")</f>
        <v>NF</v>
      </c>
      <c r="Q43" s="48">
        <v>0</v>
      </c>
      <c r="R43" s="45" t="str">
        <f t="shared" ref="R43:R61" si="11">IFERROR(IF(VLOOKUP($Q43,$B$43:$E$62,L$39,0)=Q43,"AV","NF"),"NF")</f>
        <v>AV</v>
      </c>
      <c r="T43" s="51">
        <v>40</v>
      </c>
    </row>
    <row r="44" spans="1:20" x14ac:dyDescent="0.25">
      <c r="B44" s="9">
        <v>10</v>
      </c>
      <c r="C44" s="15">
        <v>120</v>
      </c>
      <c r="D44" s="14">
        <v>101</v>
      </c>
      <c r="E44" s="14">
        <v>100</v>
      </c>
      <c r="G44" s="44">
        <f t="shared" ref="G44:G62" si="12">VLOOKUP(B44,$B$70:$B$85,1,0)</f>
        <v>10</v>
      </c>
      <c r="H44" s="19"/>
      <c r="K44" s="47">
        <v>130</v>
      </c>
      <c r="L44" s="40" t="str">
        <f t="shared" si="9"/>
        <v>NF</v>
      </c>
      <c r="N44" s="49">
        <v>121</v>
      </c>
      <c r="O44" s="40" t="str">
        <f t="shared" si="10"/>
        <v>NF</v>
      </c>
      <c r="Q44" s="49">
        <v>0</v>
      </c>
      <c r="R44" s="45" t="str">
        <f t="shared" si="11"/>
        <v>AV</v>
      </c>
      <c r="T44" s="51">
        <v>121</v>
      </c>
    </row>
    <row r="45" spans="1:20" x14ac:dyDescent="0.25">
      <c r="B45" s="10">
        <v>100</v>
      </c>
      <c r="C45" s="15">
        <v>10</v>
      </c>
      <c r="D45" s="14">
        <v>1</v>
      </c>
      <c r="E45" s="14">
        <v>0</v>
      </c>
      <c r="G45" s="44">
        <f t="shared" si="12"/>
        <v>100</v>
      </c>
      <c r="H45" s="19"/>
      <c r="K45" s="47">
        <v>220</v>
      </c>
      <c r="L45" s="40" t="str">
        <f t="shared" si="9"/>
        <v>NF</v>
      </c>
      <c r="N45" s="49">
        <v>211</v>
      </c>
      <c r="O45" s="40" t="str">
        <f t="shared" si="10"/>
        <v>NF</v>
      </c>
      <c r="Q45" s="49">
        <v>0</v>
      </c>
      <c r="R45" s="45" t="str">
        <f t="shared" si="11"/>
        <v>AV</v>
      </c>
      <c r="T45" s="51">
        <v>130</v>
      </c>
    </row>
    <row r="46" spans="1:20" x14ac:dyDescent="0.25">
      <c r="B46" s="10">
        <v>101</v>
      </c>
      <c r="C46" s="15">
        <v>20</v>
      </c>
      <c r="D46" s="14">
        <v>21</v>
      </c>
      <c r="E46" s="14">
        <v>10</v>
      </c>
      <c r="G46" s="44">
        <f t="shared" si="12"/>
        <v>101</v>
      </c>
      <c r="H46" s="19"/>
      <c r="K46" s="47">
        <v>310</v>
      </c>
      <c r="L46" s="40" t="str">
        <f t="shared" si="9"/>
        <v>NF</v>
      </c>
      <c r="N46" s="49">
        <v>301</v>
      </c>
      <c r="O46" s="40" t="str">
        <f t="shared" si="10"/>
        <v>NF</v>
      </c>
      <c r="Q46" s="49">
        <v>10</v>
      </c>
      <c r="R46" s="45" t="str">
        <f t="shared" si="11"/>
        <v>AV</v>
      </c>
      <c r="T46" s="51">
        <v>211</v>
      </c>
    </row>
    <row r="47" spans="1:20" x14ac:dyDescent="0.25">
      <c r="B47" s="10">
        <v>102</v>
      </c>
      <c r="C47" s="15">
        <v>30</v>
      </c>
      <c r="D47" s="14">
        <v>21</v>
      </c>
      <c r="E47" s="14">
        <v>20</v>
      </c>
      <c r="G47" s="44">
        <f t="shared" si="12"/>
        <v>102</v>
      </c>
      <c r="H47" s="19"/>
      <c r="K47" s="47">
        <v>10</v>
      </c>
      <c r="L47" s="45" t="str">
        <f t="shared" si="9"/>
        <v>AV</v>
      </c>
      <c r="N47" s="49">
        <v>1</v>
      </c>
      <c r="O47" s="45" t="str">
        <f t="shared" si="10"/>
        <v>AV</v>
      </c>
      <c r="Q47" s="49">
        <v>10</v>
      </c>
      <c r="R47" s="45" t="str">
        <f t="shared" si="11"/>
        <v>AV</v>
      </c>
      <c r="T47" s="51">
        <v>220</v>
      </c>
    </row>
    <row r="48" spans="1:20" x14ac:dyDescent="0.25">
      <c r="B48" s="10">
        <v>11</v>
      </c>
      <c r="C48" s="15">
        <v>120</v>
      </c>
      <c r="D48" s="14">
        <v>111</v>
      </c>
      <c r="E48" s="14">
        <v>110</v>
      </c>
      <c r="G48" s="44">
        <f t="shared" si="12"/>
        <v>11</v>
      </c>
      <c r="H48" s="19"/>
      <c r="K48" s="47">
        <v>10</v>
      </c>
      <c r="L48" s="45" t="str">
        <f t="shared" si="9"/>
        <v>AV</v>
      </c>
      <c r="N48" s="49">
        <v>1</v>
      </c>
      <c r="O48" s="45" t="str">
        <f t="shared" si="10"/>
        <v>AV</v>
      </c>
      <c r="Q48" s="49">
        <v>10</v>
      </c>
      <c r="R48" s="45" t="str">
        <f t="shared" si="11"/>
        <v>AV</v>
      </c>
      <c r="T48" s="51">
        <v>301</v>
      </c>
    </row>
    <row r="49" spans="2:20" x14ac:dyDescent="0.25">
      <c r="B49" s="10">
        <v>110</v>
      </c>
      <c r="C49" s="15">
        <v>110</v>
      </c>
      <c r="D49" s="14">
        <v>101</v>
      </c>
      <c r="E49" s="14">
        <v>100</v>
      </c>
      <c r="G49" s="44">
        <f t="shared" si="12"/>
        <v>110</v>
      </c>
      <c r="H49" s="19"/>
      <c r="K49" s="47">
        <v>10</v>
      </c>
      <c r="L49" s="45" t="str">
        <f t="shared" si="9"/>
        <v>AV</v>
      </c>
      <c r="N49" s="49">
        <v>1</v>
      </c>
      <c r="O49" s="45" t="str">
        <f t="shared" si="10"/>
        <v>AV</v>
      </c>
      <c r="Q49" s="49">
        <v>20</v>
      </c>
      <c r="R49" s="45" t="str">
        <f t="shared" si="11"/>
        <v>AV</v>
      </c>
      <c r="T49" s="51">
        <v>310</v>
      </c>
    </row>
    <row r="50" spans="2:20" x14ac:dyDescent="0.25">
      <c r="B50" s="10">
        <v>111</v>
      </c>
      <c r="C50" s="15">
        <v>120</v>
      </c>
      <c r="D50" s="14">
        <v>111</v>
      </c>
      <c r="E50" s="14">
        <v>110</v>
      </c>
      <c r="G50" s="44">
        <f t="shared" si="12"/>
        <v>111</v>
      </c>
      <c r="H50" s="19"/>
      <c r="K50" s="47">
        <v>20</v>
      </c>
      <c r="L50" s="45" t="str">
        <f t="shared" si="9"/>
        <v>AV</v>
      </c>
      <c r="N50" s="49">
        <v>11</v>
      </c>
      <c r="O50" s="45" t="str">
        <f t="shared" si="10"/>
        <v>AV</v>
      </c>
      <c r="Q50" s="49">
        <v>20</v>
      </c>
      <c r="R50" s="45" t="str">
        <f t="shared" si="11"/>
        <v>AV</v>
      </c>
    </row>
    <row r="51" spans="2:20" x14ac:dyDescent="0.25">
      <c r="B51" s="9">
        <v>12</v>
      </c>
      <c r="C51" s="15">
        <v>130</v>
      </c>
      <c r="D51" s="14">
        <v>121</v>
      </c>
      <c r="E51" s="14">
        <v>120</v>
      </c>
      <c r="G51" s="44">
        <f t="shared" si="12"/>
        <v>12</v>
      </c>
      <c r="H51" s="19"/>
      <c r="K51" s="47">
        <v>20</v>
      </c>
      <c r="L51" s="45" t="str">
        <f t="shared" si="9"/>
        <v>AV</v>
      </c>
      <c r="N51" s="49">
        <v>21</v>
      </c>
      <c r="O51" s="45" t="str">
        <f t="shared" si="10"/>
        <v>AV</v>
      </c>
      <c r="Q51" s="49">
        <v>30</v>
      </c>
      <c r="R51" s="45" t="str">
        <f t="shared" si="11"/>
        <v>AV</v>
      </c>
    </row>
    <row r="52" spans="2:20" x14ac:dyDescent="0.25">
      <c r="B52" s="10">
        <v>120</v>
      </c>
      <c r="C52" s="15">
        <v>210</v>
      </c>
      <c r="D52" s="14">
        <v>201</v>
      </c>
      <c r="E52" s="14">
        <v>200</v>
      </c>
      <c r="G52" s="44">
        <f t="shared" si="12"/>
        <v>120</v>
      </c>
      <c r="K52" s="47">
        <v>20</v>
      </c>
      <c r="L52" s="45" t="str">
        <f t="shared" si="9"/>
        <v>AV</v>
      </c>
      <c r="N52" s="49">
        <v>21</v>
      </c>
      <c r="O52" s="45" t="str">
        <f t="shared" si="10"/>
        <v>AV</v>
      </c>
      <c r="Q52" s="49">
        <v>100</v>
      </c>
      <c r="R52" s="45" t="str">
        <f t="shared" si="11"/>
        <v>AV</v>
      </c>
    </row>
    <row r="53" spans="2:20" x14ac:dyDescent="0.25">
      <c r="B53" s="10">
        <v>2</v>
      </c>
      <c r="C53" s="15">
        <v>30</v>
      </c>
      <c r="D53" s="14">
        <v>21</v>
      </c>
      <c r="E53" s="14">
        <v>20</v>
      </c>
      <c r="G53" s="44" t="e">
        <f t="shared" si="12"/>
        <v>#N/A</v>
      </c>
      <c r="K53" s="47">
        <v>30</v>
      </c>
      <c r="L53" s="45" t="str">
        <f t="shared" si="9"/>
        <v>AV</v>
      </c>
      <c r="N53" s="49">
        <v>21</v>
      </c>
      <c r="O53" s="45" t="str">
        <f t="shared" si="10"/>
        <v>AV</v>
      </c>
      <c r="Q53" s="49">
        <v>100</v>
      </c>
      <c r="R53" s="45" t="str">
        <f t="shared" si="11"/>
        <v>AV</v>
      </c>
    </row>
    <row r="54" spans="2:20" x14ac:dyDescent="0.25">
      <c r="B54" s="9">
        <v>20</v>
      </c>
      <c r="C54" s="15">
        <v>210</v>
      </c>
      <c r="D54" s="14">
        <v>201</v>
      </c>
      <c r="E54" s="14">
        <v>200</v>
      </c>
      <c r="G54" s="44">
        <f t="shared" si="12"/>
        <v>20</v>
      </c>
      <c r="K54" s="47">
        <v>30</v>
      </c>
      <c r="L54" s="45" t="str">
        <f t="shared" si="9"/>
        <v>AV</v>
      </c>
      <c r="N54" s="49">
        <v>21</v>
      </c>
      <c r="O54" s="45" t="str">
        <f t="shared" si="10"/>
        <v>AV</v>
      </c>
      <c r="Q54" s="49">
        <v>100</v>
      </c>
      <c r="R54" s="45" t="str">
        <f t="shared" si="11"/>
        <v>AV</v>
      </c>
    </row>
    <row r="55" spans="2:20" x14ac:dyDescent="0.25">
      <c r="B55" s="10">
        <v>200</v>
      </c>
      <c r="C55" s="15">
        <v>10</v>
      </c>
      <c r="D55" s="14">
        <v>1</v>
      </c>
      <c r="E55" s="14">
        <v>0</v>
      </c>
      <c r="G55" s="44">
        <f t="shared" si="12"/>
        <v>200</v>
      </c>
      <c r="K55" s="47">
        <v>110</v>
      </c>
      <c r="L55" s="45" t="str">
        <f t="shared" si="9"/>
        <v>AV</v>
      </c>
      <c r="N55" s="49">
        <v>101</v>
      </c>
      <c r="O55" s="45" t="str">
        <f t="shared" si="10"/>
        <v>AV</v>
      </c>
      <c r="Q55" s="49">
        <v>110</v>
      </c>
      <c r="R55" s="45" t="str">
        <f t="shared" si="11"/>
        <v>AV</v>
      </c>
    </row>
    <row r="56" spans="2:20" x14ac:dyDescent="0.25">
      <c r="B56" s="10">
        <v>201</v>
      </c>
      <c r="C56" s="15">
        <v>20</v>
      </c>
      <c r="D56" s="14">
        <v>21</v>
      </c>
      <c r="E56" s="14">
        <v>10</v>
      </c>
      <c r="G56" s="44">
        <f t="shared" si="12"/>
        <v>201</v>
      </c>
      <c r="K56" s="47">
        <v>110</v>
      </c>
      <c r="L56" s="45" t="str">
        <f t="shared" si="9"/>
        <v>AV</v>
      </c>
      <c r="N56" s="49">
        <v>101</v>
      </c>
      <c r="O56" s="45" t="str">
        <f t="shared" si="10"/>
        <v>AV</v>
      </c>
      <c r="Q56" s="49">
        <v>110</v>
      </c>
      <c r="R56" s="45" t="str">
        <f t="shared" si="11"/>
        <v>AV</v>
      </c>
    </row>
    <row r="57" spans="2:20" x14ac:dyDescent="0.25">
      <c r="B57" s="9">
        <v>21</v>
      </c>
      <c r="C57" s="15">
        <v>220</v>
      </c>
      <c r="D57" s="14">
        <v>211</v>
      </c>
      <c r="E57" s="14">
        <v>210</v>
      </c>
      <c r="G57" s="44">
        <f t="shared" si="12"/>
        <v>21</v>
      </c>
      <c r="K57" s="47">
        <v>120</v>
      </c>
      <c r="L57" s="45" t="str">
        <f t="shared" si="9"/>
        <v>AV</v>
      </c>
      <c r="N57" s="49">
        <v>101</v>
      </c>
      <c r="O57" s="45" t="str">
        <f t="shared" si="10"/>
        <v>AV</v>
      </c>
      <c r="Q57" s="49">
        <v>120</v>
      </c>
      <c r="R57" s="45" t="str">
        <f t="shared" si="11"/>
        <v>AV</v>
      </c>
    </row>
    <row r="58" spans="2:20" x14ac:dyDescent="0.25">
      <c r="B58" s="10">
        <v>210</v>
      </c>
      <c r="C58" s="15">
        <v>110</v>
      </c>
      <c r="D58" s="14">
        <v>101</v>
      </c>
      <c r="E58" s="14">
        <v>100</v>
      </c>
      <c r="G58" s="44">
        <f t="shared" si="12"/>
        <v>210</v>
      </c>
      <c r="K58" s="47">
        <v>120</v>
      </c>
      <c r="L58" s="45" t="str">
        <f t="shared" si="9"/>
        <v>AV</v>
      </c>
      <c r="N58" s="49">
        <v>111</v>
      </c>
      <c r="O58" s="45" t="str">
        <f t="shared" si="10"/>
        <v>AV</v>
      </c>
      <c r="Q58" s="49">
        <v>200</v>
      </c>
      <c r="R58" s="45" t="str">
        <f t="shared" si="11"/>
        <v>AV</v>
      </c>
    </row>
    <row r="59" spans="2:20" x14ac:dyDescent="0.25">
      <c r="B59" s="10">
        <v>3</v>
      </c>
      <c r="C59" s="15">
        <v>40</v>
      </c>
      <c r="D59" s="14">
        <v>31</v>
      </c>
      <c r="E59" s="14">
        <v>30</v>
      </c>
      <c r="G59" s="44" t="e">
        <f t="shared" si="12"/>
        <v>#N/A</v>
      </c>
      <c r="K59" s="47">
        <v>120</v>
      </c>
      <c r="L59" s="45" t="str">
        <f t="shared" si="9"/>
        <v>AV</v>
      </c>
      <c r="N59" s="49">
        <v>111</v>
      </c>
      <c r="O59" s="45" t="str">
        <f t="shared" si="10"/>
        <v>AV</v>
      </c>
      <c r="Q59" s="49">
        <v>200</v>
      </c>
      <c r="R59" s="45" t="str">
        <f t="shared" si="11"/>
        <v>AV</v>
      </c>
    </row>
    <row r="60" spans="2:20" x14ac:dyDescent="0.25">
      <c r="B60" s="9">
        <v>30</v>
      </c>
      <c r="C60" s="15">
        <v>310</v>
      </c>
      <c r="D60" s="14">
        <v>301</v>
      </c>
      <c r="E60" s="14">
        <v>300</v>
      </c>
      <c r="G60" s="44">
        <f t="shared" si="12"/>
        <v>30</v>
      </c>
      <c r="K60" s="47">
        <v>210</v>
      </c>
      <c r="L60" s="45" t="str">
        <f t="shared" si="9"/>
        <v>AV</v>
      </c>
      <c r="N60" s="49">
        <v>201</v>
      </c>
      <c r="O60" s="45" t="str">
        <f t="shared" si="10"/>
        <v>AV</v>
      </c>
      <c r="Q60" s="49">
        <v>210</v>
      </c>
      <c r="R60" s="45" t="str">
        <f t="shared" si="11"/>
        <v>AV</v>
      </c>
    </row>
    <row r="61" spans="2:20" x14ac:dyDescent="0.25">
      <c r="B61" s="9">
        <v>0</v>
      </c>
      <c r="C61" s="15">
        <v>10</v>
      </c>
      <c r="D61" s="14">
        <v>1</v>
      </c>
      <c r="E61" s="14">
        <v>0</v>
      </c>
      <c r="G61" s="44" t="e">
        <f t="shared" si="12"/>
        <v>#N/A</v>
      </c>
      <c r="K61" s="47">
        <v>210</v>
      </c>
      <c r="L61" s="45" t="str">
        <f t="shared" si="9"/>
        <v>AV</v>
      </c>
      <c r="N61" s="49">
        <v>201</v>
      </c>
      <c r="O61" s="45" t="str">
        <f t="shared" si="10"/>
        <v>AV</v>
      </c>
      <c r="Q61" s="49">
        <v>300</v>
      </c>
      <c r="R61" s="45" t="str">
        <f t="shared" si="11"/>
        <v>AV</v>
      </c>
    </row>
    <row r="62" spans="2:20" x14ac:dyDescent="0.25">
      <c r="B62" s="10">
        <v>300</v>
      </c>
      <c r="C62" s="15">
        <v>10</v>
      </c>
      <c r="D62" s="14">
        <v>1</v>
      </c>
      <c r="E62" s="14">
        <v>0</v>
      </c>
      <c r="G62" s="44">
        <f t="shared" si="12"/>
        <v>300</v>
      </c>
    </row>
    <row r="64" spans="2:20" x14ac:dyDescent="0.25">
      <c r="C64" s="58" t="s">
        <v>1</v>
      </c>
      <c r="D64" s="58">
        <v>737</v>
      </c>
      <c r="E64" s="58" t="s">
        <v>61</v>
      </c>
      <c r="H64" s="58" t="s">
        <v>1</v>
      </c>
      <c r="I64" s="58">
        <v>737</v>
      </c>
      <c r="J64" s="58" t="s">
        <v>61</v>
      </c>
    </row>
    <row r="65" spans="2:14" x14ac:dyDescent="0.25">
      <c r="B65" s="8"/>
      <c r="C65" s="11">
        <v>2</v>
      </c>
      <c r="D65" s="11">
        <v>3</v>
      </c>
      <c r="E65" s="11">
        <v>0</v>
      </c>
      <c r="G65" s="8"/>
      <c r="H65" s="11">
        <v>2</v>
      </c>
      <c r="I65" s="11">
        <v>3</v>
      </c>
      <c r="J65" s="11">
        <v>0</v>
      </c>
      <c r="L65" s="16" t="s">
        <v>59</v>
      </c>
      <c r="N65" s="16" t="s">
        <v>29</v>
      </c>
    </row>
    <row r="66" spans="2:14" x14ac:dyDescent="0.25">
      <c r="B66" s="9">
        <v>0</v>
      </c>
      <c r="C66" s="14">
        <v>10</v>
      </c>
      <c r="D66" s="14">
        <v>1</v>
      </c>
      <c r="E66" s="14">
        <v>0</v>
      </c>
      <c r="G66" s="9">
        <v>0</v>
      </c>
      <c r="H66" s="15">
        <v>10</v>
      </c>
      <c r="I66" s="14">
        <v>1</v>
      </c>
      <c r="J66" s="14">
        <v>0</v>
      </c>
      <c r="L66" s="14">
        <f>COUNT(H66:J66)</f>
        <v>3</v>
      </c>
      <c r="N66" s="14">
        <f t="shared" ref="N66:N85" si="13">1/L66</f>
        <v>0.33333333333333331</v>
      </c>
    </row>
    <row r="67" spans="2:14" x14ac:dyDescent="0.25">
      <c r="B67" s="10">
        <v>1</v>
      </c>
      <c r="C67" s="14">
        <v>20</v>
      </c>
      <c r="D67" s="14">
        <v>11</v>
      </c>
      <c r="E67" s="14">
        <v>10</v>
      </c>
      <c r="G67" s="10">
        <v>1</v>
      </c>
      <c r="H67" s="15">
        <v>20</v>
      </c>
      <c r="I67" s="14">
        <v>11</v>
      </c>
      <c r="J67" s="14">
        <v>10</v>
      </c>
      <c r="L67" s="14">
        <f t="shared" ref="L67:L85" si="14">COUNT(H67:J67)</f>
        <v>3</v>
      </c>
      <c r="N67" s="14">
        <f t="shared" si="13"/>
        <v>0.33333333333333331</v>
      </c>
    </row>
    <row r="68" spans="2:14" x14ac:dyDescent="0.25">
      <c r="B68" s="10">
        <v>2</v>
      </c>
      <c r="C68" s="14">
        <v>30</v>
      </c>
      <c r="D68" s="14">
        <v>21</v>
      </c>
      <c r="E68" s="14">
        <v>20</v>
      </c>
      <c r="G68" s="10">
        <v>2</v>
      </c>
      <c r="H68" s="15">
        <v>30</v>
      </c>
      <c r="I68" s="14">
        <v>21</v>
      </c>
      <c r="J68" s="14">
        <v>20</v>
      </c>
      <c r="L68" s="14">
        <f t="shared" si="14"/>
        <v>3</v>
      </c>
      <c r="N68" s="14">
        <f t="shared" si="13"/>
        <v>0.33333333333333331</v>
      </c>
    </row>
    <row r="69" spans="2:14" x14ac:dyDescent="0.25">
      <c r="B69" s="10">
        <v>3</v>
      </c>
      <c r="C69" s="41">
        <v>40</v>
      </c>
      <c r="D69" s="41">
        <v>31</v>
      </c>
      <c r="E69">
        <v>30</v>
      </c>
      <c r="G69" s="10">
        <v>3</v>
      </c>
      <c r="H69" s="41"/>
      <c r="I69" s="41"/>
      <c r="J69">
        <v>30</v>
      </c>
      <c r="L69" s="14">
        <f t="shared" si="14"/>
        <v>1</v>
      </c>
      <c r="N69" s="14">
        <f t="shared" si="13"/>
        <v>1</v>
      </c>
    </row>
    <row r="70" spans="2:14" x14ac:dyDescent="0.25">
      <c r="B70" s="9">
        <v>10</v>
      </c>
      <c r="C70" s="14">
        <v>120</v>
      </c>
      <c r="D70" s="14">
        <v>101</v>
      </c>
      <c r="E70" s="14">
        <v>100</v>
      </c>
      <c r="G70" s="9">
        <v>10</v>
      </c>
      <c r="H70" s="15">
        <v>120</v>
      </c>
      <c r="I70" s="14">
        <v>101</v>
      </c>
      <c r="J70" s="14">
        <v>100</v>
      </c>
      <c r="L70" s="14">
        <f t="shared" si="14"/>
        <v>3</v>
      </c>
      <c r="N70" s="14">
        <f t="shared" si="13"/>
        <v>0.33333333333333331</v>
      </c>
    </row>
    <row r="71" spans="2:14" x14ac:dyDescent="0.25">
      <c r="B71" s="10">
        <v>11</v>
      </c>
      <c r="C71" s="15">
        <v>120</v>
      </c>
      <c r="D71" s="14">
        <v>111</v>
      </c>
      <c r="E71" s="14">
        <v>110</v>
      </c>
      <c r="G71" s="10">
        <v>11</v>
      </c>
      <c r="H71" s="15">
        <v>120</v>
      </c>
      <c r="I71" s="14">
        <v>111</v>
      </c>
      <c r="J71" s="14">
        <v>110</v>
      </c>
      <c r="L71" s="14">
        <f t="shared" si="14"/>
        <v>3</v>
      </c>
      <c r="N71" s="14">
        <f t="shared" si="13"/>
        <v>0.33333333333333331</v>
      </c>
    </row>
    <row r="72" spans="2:14" x14ac:dyDescent="0.25">
      <c r="B72" s="9">
        <v>12</v>
      </c>
      <c r="C72" s="40">
        <v>130</v>
      </c>
      <c r="D72" s="42">
        <v>121</v>
      </c>
      <c r="E72" s="14">
        <v>120</v>
      </c>
      <c r="G72" s="9">
        <v>12</v>
      </c>
      <c r="H72" s="40"/>
      <c r="I72" s="42"/>
      <c r="J72" s="14">
        <v>120</v>
      </c>
      <c r="L72" s="14">
        <f t="shared" si="14"/>
        <v>1</v>
      </c>
      <c r="N72" s="14">
        <f t="shared" si="13"/>
        <v>1</v>
      </c>
    </row>
    <row r="73" spans="2:14" x14ac:dyDescent="0.25">
      <c r="B73" s="9">
        <v>20</v>
      </c>
      <c r="C73" s="15">
        <v>210</v>
      </c>
      <c r="D73" s="14">
        <v>201</v>
      </c>
      <c r="E73" s="14">
        <v>200</v>
      </c>
      <c r="G73" s="9">
        <v>20</v>
      </c>
      <c r="H73" s="15">
        <v>210</v>
      </c>
      <c r="I73" s="14">
        <v>201</v>
      </c>
      <c r="J73" s="14">
        <v>200</v>
      </c>
      <c r="L73" s="14">
        <f t="shared" si="14"/>
        <v>3</v>
      </c>
      <c r="N73" s="14">
        <f t="shared" si="13"/>
        <v>0.33333333333333331</v>
      </c>
    </row>
    <row r="74" spans="2:14" x14ac:dyDescent="0.25">
      <c r="B74" s="9">
        <v>21</v>
      </c>
      <c r="C74" s="40">
        <v>220</v>
      </c>
      <c r="D74" s="42">
        <v>211</v>
      </c>
      <c r="E74" s="14">
        <v>210</v>
      </c>
      <c r="G74" s="9">
        <v>21</v>
      </c>
      <c r="H74" s="40"/>
      <c r="I74" s="42"/>
      <c r="J74" s="14">
        <v>210</v>
      </c>
      <c r="L74" s="14">
        <f t="shared" si="14"/>
        <v>1</v>
      </c>
      <c r="N74" s="14">
        <f t="shared" si="13"/>
        <v>1</v>
      </c>
    </row>
    <row r="75" spans="2:14" x14ac:dyDescent="0.25">
      <c r="B75" s="9">
        <v>30</v>
      </c>
      <c r="C75" s="40">
        <v>310</v>
      </c>
      <c r="D75" s="42">
        <v>301</v>
      </c>
      <c r="E75" s="14">
        <v>300</v>
      </c>
      <c r="G75" s="9">
        <v>30</v>
      </c>
      <c r="H75" s="40"/>
      <c r="I75" s="42"/>
      <c r="J75" s="14">
        <v>300</v>
      </c>
      <c r="L75" s="14">
        <f t="shared" si="14"/>
        <v>1</v>
      </c>
      <c r="N75" s="14">
        <f t="shared" si="13"/>
        <v>1</v>
      </c>
    </row>
    <row r="76" spans="2:14" x14ac:dyDescent="0.25">
      <c r="B76" s="10">
        <v>100</v>
      </c>
      <c r="C76" s="15">
        <v>10</v>
      </c>
      <c r="D76" s="14">
        <v>1</v>
      </c>
      <c r="E76" s="14">
        <v>0</v>
      </c>
      <c r="G76" s="10">
        <v>100</v>
      </c>
      <c r="H76" s="15">
        <v>10</v>
      </c>
      <c r="I76" s="14">
        <v>1</v>
      </c>
      <c r="J76" s="14">
        <v>0</v>
      </c>
      <c r="L76" s="14">
        <f t="shared" si="14"/>
        <v>3</v>
      </c>
      <c r="N76" s="14">
        <f t="shared" si="13"/>
        <v>0.33333333333333331</v>
      </c>
    </row>
    <row r="77" spans="2:14" x14ac:dyDescent="0.25">
      <c r="B77" s="10">
        <v>101</v>
      </c>
      <c r="C77" s="15">
        <v>20</v>
      </c>
      <c r="D77" s="14">
        <v>21</v>
      </c>
      <c r="E77" s="14">
        <v>10</v>
      </c>
      <c r="G77" s="10">
        <v>101</v>
      </c>
      <c r="H77" s="15">
        <v>20</v>
      </c>
      <c r="I77" s="14">
        <v>21</v>
      </c>
      <c r="J77" s="14">
        <v>10</v>
      </c>
      <c r="L77" s="14">
        <f t="shared" si="14"/>
        <v>3</v>
      </c>
      <c r="N77" s="14">
        <f t="shared" si="13"/>
        <v>0.33333333333333331</v>
      </c>
    </row>
    <row r="78" spans="2:14" x14ac:dyDescent="0.25">
      <c r="B78" s="10">
        <v>102</v>
      </c>
      <c r="C78" s="15">
        <v>30</v>
      </c>
      <c r="D78" s="14">
        <v>21</v>
      </c>
      <c r="E78" s="14">
        <v>20</v>
      </c>
      <c r="G78" s="10">
        <v>102</v>
      </c>
      <c r="H78" s="15">
        <v>30</v>
      </c>
      <c r="I78" s="14">
        <v>21</v>
      </c>
      <c r="J78" s="14">
        <v>20</v>
      </c>
      <c r="L78" s="14">
        <f t="shared" si="14"/>
        <v>3</v>
      </c>
      <c r="N78" s="14">
        <f t="shared" si="13"/>
        <v>0.33333333333333331</v>
      </c>
    </row>
    <row r="79" spans="2:14" x14ac:dyDescent="0.25">
      <c r="B79" s="10">
        <v>110</v>
      </c>
      <c r="C79" s="15">
        <v>110</v>
      </c>
      <c r="D79" s="14">
        <v>101</v>
      </c>
      <c r="E79" s="14">
        <v>100</v>
      </c>
      <c r="G79" s="10">
        <v>110</v>
      </c>
      <c r="H79" s="15">
        <v>110</v>
      </c>
      <c r="I79" s="14">
        <v>101</v>
      </c>
      <c r="J79" s="14">
        <v>100</v>
      </c>
      <c r="L79" s="14">
        <f t="shared" si="14"/>
        <v>3</v>
      </c>
      <c r="N79" s="14">
        <f t="shared" si="13"/>
        <v>0.33333333333333331</v>
      </c>
    </row>
    <row r="80" spans="2:14" x14ac:dyDescent="0.25">
      <c r="B80" s="10">
        <v>111</v>
      </c>
      <c r="C80" s="15">
        <v>120</v>
      </c>
      <c r="D80" s="14">
        <v>111</v>
      </c>
      <c r="E80" s="14">
        <v>110</v>
      </c>
      <c r="G80" s="10">
        <v>111</v>
      </c>
      <c r="H80" s="15">
        <v>120</v>
      </c>
      <c r="I80" s="14">
        <v>111</v>
      </c>
      <c r="J80" s="14">
        <v>110</v>
      </c>
      <c r="L80" s="14">
        <f t="shared" si="14"/>
        <v>3</v>
      </c>
      <c r="N80" s="14">
        <f t="shared" si="13"/>
        <v>0.33333333333333331</v>
      </c>
    </row>
    <row r="81" spans="1:47" x14ac:dyDescent="0.25">
      <c r="B81" s="10">
        <v>120</v>
      </c>
      <c r="C81" s="15">
        <v>210</v>
      </c>
      <c r="D81" s="14">
        <v>201</v>
      </c>
      <c r="E81" s="14">
        <v>200</v>
      </c>
      <c r="G81" s="10">
        <v>120</v>
      </c>
      <c r="H81" s="15">
        <v>210</v>
      </c>
      <c r="I81" s="14">
        <v>201</v>
      </c>
      <c r="J81" s="14">
        <v>200</v>
      </c>
      <c r="L81" s="14">
        <f t="shared" si="14"/>
        <v>3</v>
      </c>
      <c r="N81" s="14">
        <f t="shared" si="13"/>
        <v>0.33333333333333331</v>
      </c>
    </row>
    <row r="82" spans="1:47" x14ac:dyDescent="0.25">
      <c r="B82" s="10">
        <v>200</v>
      </c>
      <c r="C82" s="15">
        <v>10</v>
      </c>
      <c r="D82" s="14">
        <v>1</v>
      </c>
      <c r="E82" s="14">
        <v>0</v>
      </c>
      <c r="G82" s="10">
        <v>200</v>
      </c>
      <c r="H82" s="15">
        <v>10</v>
      </c>
      <c r="I82" s="14">
        <v>1</v>
      </c>
      <c r="J82" s="14">
        <v>0</v>
      </c>
      <c r="L82" s="14">
        <f t="shared" si="14"/>
        <v>3</v>
      </c>
      <c r="N82" s="14">
        <f t="shared" si="13"/>
        <v>0.33333333333333331</v>
      </c>
    </row>
    <row r="83" spans="1:47" x14ac:dyDescent="0.25">
      <c r="B83" s="10">
        <v>201</v>
      </c>
      <c r="C83" s="15">
        <v>20</v>
      </c>
      <c r="D83" s="14">
        <v>21</v>
      </c>
      <c r="E83" s="14">
        <v>10</v>
      </c>
      <c r="G83" s="10">
        <v>201</v>
      </c>
      <c r="H83" s="15">
        <v>20</v>
      </c>
      <c r="I83" s="14">
        <v>21</v>
      </c>
      <c r="J83" s="14">
        <v>10</v>
      </c>
      <c r="L83" s="14">
        <f t="shared" si="14"/>
        <v>3</v>
      </c>
      <c r="N83" s="14">
        <f t="shared" si="13"/>
        <v>0.33333333333333331</v>
      </c>
    </row>
    <row r="84" spans="1:47" x14ac:dyDescent="0.25">
      <c r="B84" s="10">
        <v>210</v>
      </c>
      <c r="C84" s="15">
        <v>110</v>
      </c>
      <c r="D84" s="14">
        <v>101</v>
      </c>
      <c r="E84" s="14">
        <v>100</v>
      </c>
      <c r="G84" s="10">
        <v>210</v>
      </c>
      <c r="H84" s="15">
        <v>110</v>
      </c>
      <c r="I84" s="14">
        <v>101</v>
      </c>
      <c r="J84" s="14">
        <v>100</v>
      </c>
      <c r="L84" s="14">
        <f t="shared" si="14"/>
        <v>3</v>
      </c>
      <c r="N84" s="14">
        <f t="shared" si="13"/>
        <v>0.33333333333333331</v>
      </c>
    </row>
    <row r="85" spans="1:47" x14ac:dyDescent="0.25">
      <c r="B85" s="10">
        <v>300</v>
      </c>
      <c r="C85" s="15">
        <v>10</v>
      </c>
      <c r="D85" s="14">
        <v>1</v>
      </c>
      <c r="E85" s="14">
        <v>0</v>
      </c>
      <c r="G85" s="10">
        <v>300</v>
      </c>
      <c r="H85" s="15">
        <v>10</v>
      </c>
      <c r="I85" s="14">
        <v>1</v>
      </c>
      <c r="J85" s="14">
        <v>0</v>
      </c>
      <c r="L85" s="14">
        <f t="shared" si="14"/>
        <v>3</v>
      </c>
      <c r="N85" s="14">
        <f t="shared" si="13"/>
        <v>0.33333333333333331</v>
      </c>
    </row>
    <row r="86" spans="1:47" x14ac:dyDescent="0.25">
      <c r="B86" s="2"/>
      <c r="C86" s="15"/>
      <c r="D86" s="14"/>
      <c r="E86" s="14"/>
    </row>
    <row r="87" spans="1:47" x14ac:dyDescent="0.25">
      <c r="B87" s="2"/>
      <c r="C87" s="15"/>
      <c r="D87" s="14"/>
      <c r="E87" s="14"/>
    </row>
    <row r="88" spans="1:47" ht="20.25" customHeight="1" x14ac:dyDescent="0.25">
      <c r="A88" s="16" t="s">
        <v>29</v>
      </c>
      <c r="C88" s="8"/>
      <c r="D88" s="13">
        <v>0</v>
      </c>
      <c r="E88" s="11">
        <v>1</v>
      </c>
      <c r="F88" s="11">
        <v>2</v>
      </c>
      <c r="G88" s="11">
        <v>3</v>
      </c>
      <c r="H88" s="13">
        <v>10</v>
      </c>
      <c r="I88" s="11">
        <v>11</v>
      </c>
      <c r="J88" s="13">
        <v>12</v>
      </c>
      <c r="K88" s="13">
        <v>20</v>
      </c>
      <c r="L88" s="13">
        <v>21</v>
      </c>
      <c r="M88" s="13">
        <v>30</v>
      </c>
      <c r="N88" s="11">
        <v>100</v>
      </c>
      <c r="O88" s="11">
        <v>101</v>
      </c>
      <c r="P88" s="11">
        <v>102</v>
      </c>
      <c r="Q88" s="11">
        <v>110</v>
      </c>
      <c r="R88" s="11">
        <v>111</v>
      </c>
      <c r="S88" s="11">
        <v>120</v>
      </c>
      <c r="T88" s="11">
        <v>200</v>
      </c>
      <c r="U88" s="11">
        <v>201</v>
      </c>
      <c r="V88" s="11">
        <v>210</v>
      </c>
      <c r="W88" s="11">
        <v>300</v>
      </c>
      <c r="X88" s="2"/>
      <c r="Y88" s="57" t="s">
        <v>60</v>
      </c>
      <c r="Z88" s="13">
        <v>0</v>
      </c>
      <c r="AA88" s="11">
        <v>1</v>
      </c>
      <c r="AB88" s="11">
        <v>2</v>
      </c>
      <c r="AC88" s="11">
        <v>3</v>
      </c>
      <c r="AD88" s="13">
        <v>10</v>
      </c>
      <c r="AE88" s="11">
        <v>11</v>
      </c>
      <c r="AF88" s="13">
        <v>12</v>
      </c>
      <c r="AG88" s="13">
        <v>20</v>
      </c>
      <c r="AH88" s="13">
        <v>21</v>
      </c>
      <c r="AI88" s="13">
        <v>30</v>
      </c>
      <c r="AJ88" s="11">
        <v>100</v>
      </c>
      <c r="AK88" s="11">
        <v>101</v>
      </c>
      <c r="AL88" s="11">
        <v>102</v>
      </c>
      <c r="AM88" s="11">
        <v>110</v>
      </c>
      <c r="AN88" s="11">
        <v>111</v>
      </c>
      <c r="AO88" s="11">
        <v>120</v>
      </c>
      <c r="AP88" s="11">
        <v>200</v>
      </c>
      <c r="AQ88" s="11">
        <v>201</v>
      </c>
      <c r="AR88" s="11">
        <v>210</v>
      </c>
      <c r="AS88" s="11">
        <v>300</v>
      </c>
      <c r="AT88" s="2"/>
      <c r="AU88" s="11" t="s">
        <v>30</v>
      </c>
    </row>
    <row r="89" spans="1:47" x14ac:dyDescent="0.25">
      <c r="A89" s="17">
        <f>N66</f>
        <v>0.33333333333333331</v>
      </c>
      <c r="C89" s="12">
        <v>0</v>
      </c>
      <c r="D89" s="54">
        <v>1</v>
      </c>
      <c r="E89" s="54">
        <v>1</v>
      </c>
      <c r="F89" s="54"/>
      <c r="G89" s="54"/>
      <c r="H89" s="54">
        <v>1</v>
      </c>
      <c r="I89" s="54"/>
      <c r="J89" s="54"/>
      <c r="K89" s="54"/>
      <c r="L89" s="54"/>
      <c r="M89" s="54"/>
      <c r="N89" s="54"/>
      <c r="O89" s="54"/>
      <c r="P89" s="55"/>
      <c r="Q89" s="55"/>
      <c r="R89" s="55"/>
      <c r="S89" s="55"/>
      <c r="T89" s="55"/>
      <c r="U89" s="55"/>
      <c r="V89" s="55"/>
      <c r="W89" s="55"/>
      <c r="Y89" s="9">
        <v>0</v>
      </c>
      <c r="Z89" s="53">
        <f>IF(D89=1,$A89,0)</f>
        <v>0.33333333333333331</v>
      </c>
      <c r="AA89" s="53">
        <f t="shared" ref="AA89:AS89" si="15">IF(E89=1,$A89,0)</f>
        <v>0.33333333333333331</v>
      </c>
      <c r="AB89" s="53">
        <f t="shared" si="15"/>
        <v>0</v>
      </c>
      <c r="AC89" s="53">
        <f t="shared" si="15"/>
        <v>0</v>
      </c>
      <c r="AD89" s="53">
        <f t="shared" si="15"/>
        <v>0.33333333333333331</v>
      </c>
      <c r="AE89" s="53">
        <f t="shared" si="15"/>
        <v>0</v>
      </c>
      <c r="AF89" s="53">
        <f t="shared" si="15"/>
        <v>0</v>
      </c>
      <c r="AG89" s="53">
        <f t="shared" si="15"/>
        <v>0</v>
      </c>
      <c r="AH89" s="53">
        <f t="shared" si="15"/>
        <v>0</v>
      </c>
      <c r="AI89" s="53">
        <f t="shared" si="15"/>
        <v>0</v>
      </c>
      <c r="AJ89" s="53">
        <f t="shared" si="15"/>
        <v>0</v>
      </c>
      <c r="AK89" s="53">
        <f t="shared" si="15"/>
        <v>0</v>
      </c>
      <c r="AL89" s="53">
        <f t="shared" si="15"/>
        <v>0</v>
      </c>
      <c r="AM89" s="53">
        <f t="shared" si="15"/>
        <v>0</v>
      </c>
      <c r="AN89" s="53">
        <f t="shared" si="15"/>
        <v>0</v>
      </c>
      <c r="AO89" s="53">
        <f t="shared" si="15"/>
        <v>0</v>
      </c>
      <c r="AP89" s="53">
        <f t="shared" si="15"/>
        <v>0</v>
      </c>
      <c r="AQ89" s="53">
        <f t="shared" si="15"/>
        <v>0</v>
      </c>
      <c r="AR89" s="53">
        <f t="shared" si="15"/>
        <v>0</v>
      </c>
      <c r="AS89" s="53">
        <f t="shared" si="15"/>
        <v>0</v>
      </c>
      <c r="AU89" s="53">
        <f>ROUND(SUM(Z89:AS89),0)</f>
        <v>1</v>
      </c>
    </row>
    <row r="90" spans="1:47" x14ac:dyDescent="0.25">
      <c r="A90" s="17">
        <f t="shared" ref="A90:A108" si="16">N67</f>
        <v>0.33333333333333331</v>
      </c>
      <c r="C90" s="8">
        <v>1</v>
      </c>
      <c r="D90" s="54"/>
      <c r="E90" s="54"/>
      <c r="F90" s="54"/>
      <c r="G90" s="54"/>
      <c r="H90" s="54">
        <v>1</v>
      </c>
      <c r="I90" s="54">
        <v>1</v>
      </c>
      <c r="J90" s="54"/>
      <c r="K90" s="54">
        <v>1</v>
      </c>
      <c r="L90" s="54"/>
      <c r="M90" s="54"/>
      <c r="N90" s="54"/>
      <c r="O90" s="54"/>
      <c r="P90" s="55"/>
      <c r="Q90" s="55"/>
      <c r="R90" s="55"/>
      <c r="S90" s="55"/>
      <c r="T90" s="55"/>
      <c r="U90" s="55"/>
      <c r="V90" s="55"/>
      <c r="W90" s="55"/>
      <c r="Y90" s="10">
        <v>1</v>
      </c>
      <c r="Z90" s="53">
        <f t="shared" ref="Z90:Z108" si="17">IF(D90=1,$A90,0)</f>
        <v>0</v>
      </c>
      <c r="AA90" s="53">
        <f t="shared" ref="AA90:AA108" si="18">IF(E90=1,$A90,0)</f>
        <v>0</v>
      </c>
      <c r="AB90" s="53">
        <f t="shared" ref="AB90:AB108" si="19">IF(F90=1,$A90,0)</f>
        <v>0</v>
      </c>
      <c r="AC90" s="53">
        <f t="shared" ref="AC90:AC108" si="20">IF(G90=1,$A90,0)</f>
        <v>0</v>
      </c>
      <c r="AD90" s="53">
        <f t="shared" ref="AD90:AD108" si="21">IF(H90=1,$A90,0)</f>
        <v>0.33333333333333331</v>
      </c>
      <c r="AE90" s="53">
        <f t="shared" ref="AE90:AE108" si="22">IF(I90=1,$A90,0)</f>
        <v>0.33333333333333331</v>
      </c>
      <c r="AF90" s="53">
        <f t="shared" ref="AF90:AF108" si="23">IF(J90=1,$A90,0)</f>
        <v>0</v>
      </c>
      <c r="AG90" s="53">
        <f t="shared" ref="AG90:AG108" si="24">IF(K90=1,$A90,0)</f>
        <v>0.33333333333333331</v>
      </c>
      <c r="AH90" s="53">
        <f t="shared" ref="AH90:AH108" si="25">IF(L90=1,$A90,0)</f>
        <v>0</v>
      </c>
      <c r="AI90" s="53">
        <f t="shared" ref="AI90:AI108" si="26">IF(M90=1,$A90,0)</f>
        <v>0</v>
      </c>
      <c r="AJ90" s="53">
        <f t="shared" ref="AJ90:AJ108" si="27">IF(N90=1,$A90,0)</f>
        <v>0</v>
      </c>
      <c r="AK90" s="53">
        <f t="shared" ref="AK90:AK108" si="28">IF(O90=1,$A90,0)</f>
        <v>0</v>
      </c>
      <c r="AL90" s="53">
        <f t="shared" ref="AL90:AL108" si="29">IF(P90=1,$A90,0)</f>
        <v>0</v>
      </c>
      <c r="AM90" s="53">
        <f t="shared" ref="AM90:AM108" si="30">IF(Q90=1,$A90,0)</f>
        <v>0</v>
      </c>
      <c r="AN90" s="53">
        <f t="shared" ref="AN90:AN108" si="31">IF(R90=1,$A90,0)</f>
        <v>0</v>
      </c>
      <c r="AO90" s="53">
        <f t="shared" ref="AO90:AO108" si="32">IF(S90=1,$A90,0)</f>
        <v>0</v>
      </c>
      <c r="AP90" s="53">
        <f t="shared" ref="AP90:AP108" si="33">IF(T90=1,$A90,0)</f>
        <v>0</v>
      </c>
      <c r="AQ90" s="53">
        <f t="shared" ref="AQ90:AQ108" si="34">IF(U90=1,$A90,0)</f>
        <v>0</v>
      </c>
      <c r="AR90" s="53">
        <f t="shared" ref="AR90:AR108" si="35">IF(V90=1,$A90,0)</f>
        <v>0</v>
      </c>
      <c r="AS90" s="53">
        <f t="shared" ref="AS90:AS108" si="36">IF(W90=1,$A90,0)</f>
        <v>0</v>
      </c>
      <c r="AU90" s="53">
        <f t="shared" ref="AU90:AU108" si="37">ROUND(SUM(Z90:AS90),0)</f>
        <v>1</v>
      </c>
    </row>
    <row r="91" spans="1:47" x14ac:dyDescent="0.25">
      <c r="A91" s="17">
        <f t="shared" si="16"/>
        <v>0.33333333333333331</v>
      </c>
      <c r="C91" s="8">
        <v>2</v>
      </c>
      <c r="D91" s="54"/>
      <c r="E91" s="54"/>
      <c r="F91" s="54"/>
      <c r="G91" s="54"/>
      <c r="H91" s="54"/>
      <c r="I91" s="54"/>
      <c r="J91" s="54"/>
      <c r="K91" s="54">
        <v>1</v>
      </c>
      <c r="L91" s="54">
        <v>1</v>
      </c>
      <c r="M91" s="54">
        <v>1</v>
      </c>
      <c r="N91" s="54"/>
      <c r="O91" s="54"/>
      <c r="P91" s="55"/>
      <c r="Q91" s="55"/>
      <c r="R91" s="55"/>
      <c r="S91" s="55"/>
      <c r="T91" s="55"/>
      <c r="U91" s="55"/>
      <c r="V91" s="55"/>
      <c r="W91" s="55"/>
      <c r="Y91" s="10">
        <v>2</v>
      </c>
      <c r="Z91" s="53">
        <f t="shared" si="17"/>
        <v>0</v>
      </c>
      <c r="AA91" s="53">
        <f t="shared" si="18"/>
        <v>0</v>
      </c>
      <c r="AB91" s="53">
        <f t="shared" si="19"/>
        <v>0</v>
      </c>
      <c r="AC91" s="53">
        <f t="shared" si="20"/>
        <v>0</v>
      </c>
      <c r="AD91" s="53">
        <f t="shared" si="21"/>
        <v>0</v>
      </c>
      <c r="AE91" s="53">
        <f t="shared" si="22"/>
        <v>0</v>
      </c>
      <c r="AF91" s="53">
        <f t="shared" si="23"/>
        <v>0</v>
      </c>
      <c r="AG91" s="53">
        <f t="shared" si="24"/>
        <v>0.33333333333333331</v>
      </c>
      <c r="AH91" s="53">
        <f t="shared" si="25"/>
        <v>0.33333333333333331</v>
      </c>
      <c r="AI91" s="53">
        <f t="shared" si="26"/>
        <v>0.33333333333333331</v>
      </c>
      <c r="AJ91" s="53">
        <f t="shared" si="27"/>
        <v>0</v>
      </c>
      <c r="AK91" s="53">
        <f t="shared" si="28"/>
        <v>0</v>
      </c>
      <c r="AL91" s="53">
        <f t="shared" si="29"/>
        <v>0</v>
      </c>
      <c r="AM91" s="53">
        <f t="shared" si="30"/>
        <v>0</v>
      </c>
      <c r="AN91" s="53">
        <f t="shared" si="31"/>
        <v>0</v>
      </c>
      <c r="AO91" s="53">
        <f t="shared" si="32"/>
        <v>0</v>
      </c>
      <c r="AP91" s="53">
        <f t="shared" si="33"/>
        <v>0</v>
      </c>
      <c r="AQ91" s="53">
        <f t="shared" si="34"/>
        <v>0</v>
      </c>
      <c r="AR91" s="53">
        <f t="shared" si="35"/>
        <v>0</v>
      </c>
      <c r="AS91" s="53">
        <f t="shared" si="36"/>
        <v>0</v>
      </c>
      <c r="AU91" s="53">
        <f t="shared" si="37"/>
        <v>1</v>
      </c>
    </row>
    <row r="92" spans="1:47" x14ac:dyDescent="0.25">
      <c r="A92" s="17">
        <f t="shared" si="16"/>
        <v>1</v>
      </c>
      <c r="C92" s="8">
        <v>3</v>
      </c>
      <c r="D92" s="54"/>
      <c r="E92" s="54"/>
      <c r="F92" s="54"/>
      <c r="G92" s="54"/>
      <c r="H92" s="54"/>
      <c r="I92" s="54"/>
      <c r="J92" s="54"/>
      <c r="K92" s="54"/>
      <c r="L92" s="54"/>
      <c r="M92" s="54">
        <v>1</v>
      </c>
      <c r="N92" s="54"/>
      <c r="O92" s="54"/>
      <c r="P92" s="55"/>
      <c r="Q92" s="55"/>
      <c r="R92" s="55"/>
      <c r="S92" s="55"/>
      <c r="T92" s="55"/>
      <c r="U92" s="55"/>
      <c r="V92" s="55"/>
      <c r="W92" s="55"/>
      <c r="Y92" s="10">
        <v>3</v>
      </c>
      <c r="Z92" s="53">
        <f t="shared" si="17"/>
        <v>0</v>
      </c>
      <c r="AA92" s="53">
        <f t="shared" si="18"/>
        <v>0</v>
      </c>
      <c r="AB92" s="53">
        <f t="shared" si="19"/>
        <v>0</v>
      </c>
      <c r="AC92" s="53">
        <f t="shared" si="20"/>
        <v>0</v>
      </c>
      <c r="AD92" s="53">
        <f t="shared" si="21"/>
        <v>0</v>
      </c>
      <c r="AE92" s="53">
        <f t="shared" si="22"/>
        <v>0</v>
      </c>
      <c r="AF92" s="53">
        <f t="shared" si="23"/>
        <v>0</v>
      </c>
      <c r="AG92" s="53">
        <f t="shared" si="24"/>
        <v>0</v>
      </c>
      <c r="AH92" s="53">
        <f t="shared" si="25"/>
        <v>0</v>
      </c>
      <c r="AI92" s="56">
        <f t="shared" si="26"/>
        <v>1</v>
      </c>
      <c r="AJ92" s="53">
        <f t="shared" si="27"/>
        <v>0</v>
      </c>
      <c r="AK92" s="53">
        <f t="shared" si="28"/>
        <v>0</v>
      </c>
      <c r="AL92" s="53">
        <f t="shared" si="29"/>
        <v>0</v>
      </c>
      <c r="AM92" s="53">
        <f t="shared" si="30"/>
        <v>0</v>
      </c>
      <c r="AN92" s="53">
        <f t="shared" si="31"/>
        <v>0</v>
      </c>
      <c r="AO92" s="53">
        <f t="shared" si="32"/>
        <v>0</v>
      </c>
      <c r="AP92" s="53">
        <f t="shared" si="33"/>
        <v>0</v>
      </c>
      <c r="AQ92" s="53">
        <f t="shared" si="34"/>
        <v>0</v>
      </c>
      <c r="AR92" s="53">
        <f t="shared" si="35"/>
        <v>0</v>
      </c>
      <c r="AS92" s="53">
        <f t="shared" si="36"/>
        <v>0</v>
      </c>
      <c r="AU92" s="53">
        <f t="shared" si="37"/>
        <v>1</v>
      </c>
    </row>
    <row r="93" spans="1:47" x14ac:dyDescent="0.25">
      <c r="A93" s="17">
        <f t="shared" si="16"/>
        <v>0.33333333333333331</v>
      </c>
      <c r="C93" s="8">
        <v>10</v>
      </c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>
        <v>1</v>
      </c>
      <c r="O93" s="54">
        <v>1</v>
      </c>
      <c r="P93" s="55"/>
      <c r="Q93" s="55"/>
      <c r="R93" s="55"/>
      <c r="S93" s="55">
        <v>1</v>
      </c>
      <c r="T93" s="55"/>
      <c r="U93" s="55"/>
      <c r="V93" s="55"/>
      <c r="W93" s="55"/>
      <c r="Y93" s="9">
        <v>10</v>
      </c>
      <c r="Z93" s="53">
        <f t="shared" si="17"/>
        <v>0</v>
      </c>
      <c r="AA93" s="53">
        <f t="shared" si="18"/>
        <v>0</v>
      </c>
      <c r="AB93" s="53">
        <f t="shared" si="19"/>
        <v>0</v>
      </c>
      <c r="AC93" s="53">
        <f t="shared" si="20"/>
        <v>0</v>
      </c>
      <c r="AD93" s="53">
        <f t="shared" si="21"/>
        <v>0</v>
      </c>
      <c r="AE93" s="53">
        <f t="shared" si="22"/>
        <v>0</v>
      </c>
      <c r="AF93" s="53">
        <f t="shared" si="23"/>
        <v>0</v>
      </c>
      <c r="AG93" s="53">
        <f t="shared" si="24"/>
        <v>0</v>
      </c>
      <c r="AH93" s="53">
        <f t="shared" si="25"/>
        <v>0</v>
      </c>
      <c r="AI93" s="53">
        <f t="shared" si="26"/>
        <v>0</v>
      </c>
      <c r="AJ93" s="53">
        <f t="shared" si="27"/>
        <v>0.33333333333333331</v>
      </c>
      <c r="AK93" s="53">
        <f t="shared" si="28"/>
        <v>0.33333333333333331</v>
      </c>
      <c r="AL93" s="53">
        <f t="shared" si="29"/>
        <v>0</v>
      </c>
      <c r="AM93" s="53">
        <f t="shared" si="30"/>
        <v>0</v>
      </c>
      <c r="AN93" s="53">
        <f t="shared" si="31"/>
        <v>0</v>
      </c>
      <c r="AO93" s="53">
        <f t="shared" si="32"/>
        <v>0.33333333333333331</v>
      </c>
      <c r="AP93" s="53">
        <f t="shared" si="33"/>
        <v>0</v>
      </c>
      <c r="AQ93" s="53">
        <f t="shared" si="34"/>
        <v>0</v>
      </c>
      <c r="AR93" s="53">
        <f t="shared" si="35"/>
        <v>0</v>
      </c>
      <c r="AS93" s="53">
        <f t="shared" si="36"/>
        <v>0</v>
      </c>
      <c r="AU93" s="53">
        <f t="shared" si="37"/>
        <v>1</v>
      </c>
    </row>
    <row r="94" spans="1:47" x14ac:dyDescent="0.25">
      <c r="A94" s="17">
        <f t="shared" si="16"/>
        <v>0.33333333333333331</v>
      </c>
      <c r="C94" s="8">
        <v>11</v>
      </c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5"/>
      <c r="Q94" s="55">
        <v>1</v>
      </c>
      <c r="R94" s="55">
        <v>1</v>
      </c>
      <c r="S94" s="55">
        <v>1</v>
      </c>
      <c r="T94" s="55"/>
      <c r="U94" s="55"/>
      <c r="V94" s="55"/>
      <c r="W94" s="55"/>
      <c r="Y94" s="10">
        <v>11</v>
      </c>
      <c r="Z94" s="53">
        <f t="shared" si="17"/>
        <v>0</v>
      </c>
      <c r="AA94" s="53">
        <f t="shared" si="18"/>
        <v>0</v>
      </c>
      <c r="AB94" s="53">
        <f t="shared" si="19"/>
        <v>0</v>
      </c>
      <c r="AC94" s="53">
        <f t="shared" si="20"/>
        <v>0</v>
      </c>
      <c r="AD94" s="53">
        <f t="shared" si="21"/>
        <v>0</v>
      </c>
      <c r="AE94" s="53">
        <f t="shared" si="22"/>
        <v>0</v>
      </c>
      <c r="AF94" s="53">
        <f t="shared" si="23"/>
        <v>0</v>
      </c>
      <c r="AG94" s="53">
        <f t="shared" si="24"/>
        <v>0</v>
      </c>
      <c r="AH94" s="53">
        <f t="shared" si="25"/>
        <v>0</v>
      </c>
      <c r="AI94" s="53">
        <f t="shared" si="26"/>
        <v>0</v>
      </c>
      <c r="AJ94" s="53">
        <f t="shared" si="27"/>
        <v>0</v>
      </c>
      <c r="AK94" s="53">
        <f t="shared" si="28"/>
        <v>0</v>
      </c>
      <c r="AL94" s="53">
        <f t="shared" si="29"/>
        <v>0</v>
      </c>
      <c r="AM94" s="53">
        <f t="shared" si="30"/>
        <v>0.33333333333333331</v>
      </c>
      <c r="AN94" s="53">
        <f t="shared" si="31"/>
        <v>0.33333333333333331</v>
      </c>
      <c r="AO94" s="53">
        <f t="shared" si="32"/>
        <v>0.33333333333333331</v>
      </c>
      <c r="AP94" s="53">
        <f t="shared" si="33"/>
        <v>0</v>
      </c>
      <c r="AQ94" s="53">
        <f t="shared" si="34"/>
        <v>0</v>
      </c>
      <c r="AR94" s="53">
        <f t="shared" si="35"/>
        <v>0</v>
      </c>
      <c r="AS94" s="53">
        <f t="shared" si="36"/>
        <v>0</v>
      </c>
      <c r="AU94" s="53">
        <f t="shared" si="37"/>
        <v>1</v>
      </c>
    </row>
    <row r="95" spans="1:47" x14ac:dyDescent="0.25">
      <c r="A95" s="17">
        <f t="shared" si="16"/>
        <v>1</v>
      </c>
      <c r="C95" s="8">
        <v>12</v>
      </c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5"/>
      <c r="Q95" s="55"/>
      <c r="R95" s="55"/>
      <c r="S95" s="55">
        <v>1</v>
      </c>
      <c r="T95" s="55"/>
      <c r="U95" s="55"/>
      <c r="V95" s="55"/>
      <c r="W95" s="55"/>
      <c r="Y95" s="9">
        <v>12</v>
      </c>
      <c r="Z95" s="53">
        <f t="shared" si="17"/>
        <v>0</v>
      </c>
      <c r="AA95" s="53">
        <f t="shared" si="18"/>
        <v>0</v>
      </c>
      <c r="AB95" s="53">
        <f t="shared" si="19"/>
        <v>0</v>
      </c>
      <c r="AC95" s="53">
        <f t="shared" si="20"/>
        <v>0</v>
      </c>
      <c r="AD95" s="53">
        <f t="shared" si="21"/>
        <v>0</v>
      </c>
      <c r="AE95" s="53">
        <f t="shared" si="22"/>
        <v>0</v>
      </c>
      <c r="AF95" s="53">
        <f t="shared" si="23"/>
        <v>0</v>
      </c>
      <c r="AG95" s="53">
        <f t="shared" si="24"/>
        <v>0</v>
      </c>
      <c r="AH95" s="53">
        <f t="shared" si="25"/>
        <v>0</v>
      </c>
      <c r="AI95" s="53">
        <f t="shared" si="26"/>
        <v>0</v>
      </c>
      <c r="AJ95" s="53">
        <f t="shared" si="27"/>
        <v>0</v>
      </c>
      <c r="AK95" s="53">
        <f t="shared" si="28"/>
        <v>0</v>
      </c>
      <c r="AL95" s="53">
        <f t="shared" si="29"/>
        <v>0</v>
      </c>
      <c r="AM95" s="53">
        <f t="shared" si="30"/>
        <v>0</v>
      </c>
      <c r="AN95" s="53">
        <f t="shared" si="31"/>
        <v>0</v>
      </c>
      <c r="AO95" s="56">
        <f t="shared" si="32"/>
        <v>1</v>
      </c>
      <c r="AP95" s="53">
        <f t="shared" si="33"/>
        <v>0</v>
      </c>
      <c r="AQ95" s="53">
        <f t="shared" si="34"/>
        <v>0</v>
      </c>
      <c r="AR95" s="53">
        <f t="shared" si="35"/>
        <v>0</v>
      </c>
      <c r="AS95" s="53">
        <f t="shared" si="36"/>
        <v>0</v>
      </c>
      <c r="AU95" s="53">
        <f t="shared" si="37"/>
        <v>1</v>
      </c>
    </row>
    <row r="96" spans="1:47" x14ac:dyDescent="0.25">
      <c r="A96" s="17">
        <f t="shared" si="16"/>
        <v>0.33333333333333331</v>
      </c>
      <c r="C96" s="8">
        <v>20</v>
      </c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5"/>
      <c r="Q96" s="55"/>
      <c r="R96" s="55"/>
      <c r="S96" s="55"/>
      <c r="T96" s="55">
        <v>1</v>
      </c>
      <c r="U96" s="55">
        <v>1</v>
      </c>
      <c r="V96" s="55">
        <v>1</v>
      </c>
      <c r="W96" s="55"/>
      <c r="Y96" s="9">
        <v>20</v>
      </c>
      <c r="Z96" s="53">
        <f t="shared" si="17"/>
        <v>0</v>
      </c>
      <c r="AA96" s="53">
        <f t="shared" si="18"/>
        <v>0</v>
      </c>
      <c r="AB96" s="53">
        <f t="shared" si="19"/>
        <v>0</v>
      </c>
      <c r="AC96" s="53">
        <f t="shared" si="20"/>
        <v>0</v>
      </c>
      <c r="AD96" s="53">
        <f t="shared" si="21"/>
        <v>0</v>
      </c>
      <c r="AE96" s="53">
        <f t="shared" si="22"/>
        <v>0</v>
      </c>
      <c r="AF96" s="53">
        <f t="shared" si="23"/>
        <v>0</v>
      </c>
      <c r="AG96" s="53">
        <f t="shared" si="24"/>
        <v>0</v>
      </c>
      <c r="AH96" s="53">
        <f t="shared" si="25"/>
        <v>0</v>
      </c>
      <c r="AI96" s="53">
        <f t="shared" si="26"/>
        <v>0</v>
      </c>
      <c r="AJ96" s="53">
        <f t="shared" si="27"/>
        <v>0</v>
      </c>
      <c r="AK96" s="53">
        <f t="shared" si="28"/>
        <v>0</v>
      </c>
      <c r="AL96" s="53">
        <f t="shared" si="29"/>
        <v>0</v>
      </c>
      <c r="AM96" s="53">
        <f t="shared" si="30"/>
        <v>0</v>
      </c>
      <c r="AN96" s="53">
        <f t="shared" si="31"/>
        <v>0</v>
      </c>
      <c r="AO96" s="53">
        <f t="shared" si="32"/>
        <v>0</v>
      </c>
      <c r="AP96" s="53">
        <f t="shared" si="33"/>
        <v>0.33333333333333331</v>
      </c>
      <c r="AQ96" s="53">
        <f t="shared" si="34"/>
        <v>0.33333333333333331</v>
      </c>
      <c r="AR96" s="53">
        <f t="shared" si="35"/>
        <v>0.33333333333333331</v>
      </c>
      <c r="AS96" s="53">
        <f t="shared" si="36"/>
        <v>0</v>
      </c>
      <c r="AU96" s="53">
        <f t="shared" si="37"/>
        <v>1</v>
      </c>
    </row>
    <row r="97" spans="1:47" x14ac:dyDescent="0.25">
      <c r="A97" s="17">
        <f t="shared" si="16"/>
        <v>1</v>
      </c>
      <c r="C97" s="8">
        <v>21</v>
      </c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5"/>
      <c r="Q97" s="55"/>
      <c r="R97" s="55"/>
      <c r="S97" s="55"/>
      <c r="T97" s="55"/>
      <c r="U97" s="55"/>
      <c r="V97" s="55">
        <v>1</v>
      </c>
      <c r="W97" s="55"/>
      <c r="Y97" s="9">
        <v>21</v>
      </c>
      <c r="Z97" s="53">
        <f t="shared" si="17"/>
        <v>0</v>
      </c>
      <c r="AA97" s="53">
        <f t="shared" si="18"/>
        <v>0</v>
      </c>
      <c r="AB97" s="53">
        <f t="shared" si="19"/>
        <v>0</v>
      </c>
      <c r="AC97" s="53">
        <f t="shared" si="20"/>
        <v>0</v>
      </c>
      <c r="AD97" s="53">
        <f t="shared" si="21"/>
        <v>0</v>
      </c>
      <c r="AE97" s="53">
        <f t="shared" si="22"/>
        <v>0</v>
      </c>
      <c r="AF97" s="53">
        <f t="shared" si="23"/>
        <v>0</v>
      </c>
      <c r="AG97" s="53">
        <f t="shared" si="24"/>
        <v>0</v>
      </c>
      <c r="AH97" s="53">
        <f t="shared" si="25"/>
        <v>0</v>
      </c>
      <c r="AI97" s="53">
        <f t="shared" si="26"/>
        <v>0</v>
      </c>
      <c r="AJ97" s="53">
        <f t="shared" si="27"/>
        <v>0</v>
      </c>
      <c r="AK97" s="53">
        <f t="shared" si="28"/>
        <v>0</v>
      </c>
      <c r="AL97" s="53">
        <f t="shared" si="29"/>
        <v>0</v>
      </c>
      <c r="AM97" s="53">
        <f t="shared" si="30"/>
        <v>0</v>
      </c>
      <c r="AN97" s="53">
        <f t="shared" si="31"/>
        <v>0</v>
      </c>
      <c r="AO97" s="53">
        <f t="shared" si="32"/>
        <v>0</v>
      </c>
      <c r="AP97" s="53">
        <f t="shared" si="33"/>
        <v>0</v>
      </c>
      <c r="AQ97" s="53">
        <f t="shared" si="34"/>
        <v>0</v>
      </c>
      <c r="AR97" s="56">
        <f t="shared" si="35"/>
        <v>1</v>
      </c>
      <c r="AS97" s="53">
        <f t="shared" si="36"/>
        <v>0</v>
      </c>
      <c r="AU97" s="53">
        <f t="shared" si="37"/>
        <v>1</v>
      </c>
    </row>
    <row r="98" spans="1:47" x14ac:dyDescent="0.25">
      <c r="A98" s="17">
        <f t="shared" si="16"/>
        <v>1</v>
      </c>
      <c r="C98" s="8">
        <v>30</v>
      </c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5"/>
      <c r="Q98" s="55"/>
      <c r="R98" s="55"/>
      <c r="S98" s="55"/>
      <c r="T98" s="55"/>
      <c r="U98" s="55"/>
      <c r="V98" s="55"/>
      <c r="W98" s="55">
        <v>1</v>
      </c>
      <c r="Y98" s="9">
        <v>30</v>
      </c>
      <c r="Z98" s="53">
        <f t="shared" si="17"/>
        <v>0</v>
      </c>
      <c r="AA98" s="53">
        <f t="shared" si="18"/>
        <v>0</v>
      </c>
      <c r="AB98" s="53">
        <f t="shared" si="19"/>
        <v>0</v>
      </c>
      <c r="AC98" s="53">
        <f t="shared" si="20"/>
        <v>0</v>
      </c>
      <c r="AD98" s="53">
        <f t="shared" si="21"/>
        <v>0</v>
      </c>
      <c r="AE98" s="53">
        <f t="shared" si="22"/>
        <v>0</v>
      </c>
      <c r="AF98" s="53">
        <f t="shared" si="23"/>
        <v>0</v>
      </c>
      <c r="AG98" s="53">
        <f t="shared" si="24"/>
        <v>0</v>
      </c>
      <c r="AH98" s="53">
        <f t="shared" si="25"/>
        <v>0</v>
      </c>
      <c r="AI98" s="53">
        <f t="shared" si="26"/>
        <v>0</v>
      </c>
      <c r="AJ98" s="53">
        <f t="shared" si="27"/>
        <v>0</v>
      </c>
      <c r="AK98" s="53">
        <f t="shared" si="28"/>
        <v>0</v>
      </c>
      <c r="AL98" s="53">
        <f t="shared" si="29"/>
        <v>0</v>
      </c>
      <c r="AM98" s="53">
        <f t="shared" si="30"/>
        <v>0</v>
      </c>
      <c r="AN98" s="53">
        <f t="shared" si="31"/>
        <v>0</v>
      </c>
      <c r="AO98" s="53">
        <f t="shared" si="32"/>
        <v>0</v>
      </c>
      <c r="AP98" s="53">
        <f t="shared" si="33"/>
        <v>0</v>
      </c>
      <c r="AQ98" s="53">
        <f t="shared" si="34"/>
        <v>0</v>
      </c>
      <c r="AR98" s="53">
        <f t="shared" si="35"/>
        <v>0</v>
      </c>
      <c r="AS98" s="56">
        <f t="shared" si="36"/>
        <v>1</v>
      </c>
      <c r="AU98" s="53">
        <f t="shared" si="37"/>
        <v>1</v>
      </c>
    </row>
    <row r="99" spans="1:47" x14ac:dyDescent="0.25">
      <c r="A99" s="17">
        <f t="shared" si="16"/>
        <v>0.33333333333333331</v>
      </c>
      <c r="C99" s="8">
        <v>100</v>
      </c>
      <c r="D99" s="54">
        <v>1</v>
      </c>
      <c r="E99" s="54">
        <v>1</v>
      </c>
      <c r="F99" s="54"/>
      <c r="G99" s="54"/>
      <c r="H99" s="54">
        <v>1</v>
      </c>
      <c r="I99" s="54"/>
      <c r="J99" s="54"/>
      <c r="K99" s="54"/>
      <c r="L99" s="54"/>
      <c r="M99" s="54"/>
      <c r="N99" s="54"/>
      <c r="O99" s="54"/>
      <c r="P99" s="55"/>
      <c r="Q99" s="55"/>
      <c r="R99" s="55"/>
      <c r="S99" s="55"/>
      <c r="T99" s="55"/>
      <c r="U99" s="55"/>
      <c r="V99" s="55"/>
      <c r="W99" s="55"/>
      <c r="Y99" s="10">
        <v>100</v>
      </c>
      <c r="Z99" s="53">
        <f t="shared" si="17"/>
        <v>0.33333333333333331</v>
      </c>
      <c r="AA99" s="53">
        <f t="shared" si="18"/>
        <v>0.33333333333333331</v>
      </c>
      <c r="AB99" s="53">
        <f t="shared" si="19"/>
        <v>0</v>
      </c>
      <c r="AC99" s="53">
        <f t="shared" si="20"/>
        <v>0</v>
      </c>
      <c r="AD99" s="53">
        <f t="shared" si="21"/>
        <v>0.33333333333333331</v>
      </c>
      <c r="AE99" s="53">
        <f t="shared" si="22"/>
        <v>0</v>
      </c>
      <c r="AF99" s="53">
        <f t="shared" si="23"/>
        <v>0</v>
      </c>
      <c r="AG99" s="53">
        <f t="shared" si="24"/>
        <v>0</v>
      </c>
      <c r="AH99" s="53">
        <f t="shared" si="25"/>
        <v>0</v>
      </c>
      <c r="AI99" s="53">
        <f t="shared" si="26"/>
        <v>0</v>
      </c>
      <c r="AJ99" s="53">
        <f t="shared" si="27"/>
        <v>0</v>
      </c>
      <c r="AK99" s="53">
        <f t="shared" si="28"/>
        <v>0</v>
      </c>
      <c r="AL99" s="53">
        <f t="shared" si="29"/>
        <v>0</v>
      </c>
      <c r="AM99" s="53">
        <f t="shared" si="30"/>
        <v>0</v>
      </c>
      <c r="AN99" s="53">
        <f t="shared" si="31"/>
        <v>0</v>
      </c>
      <c r="AO99" s="53">
        <f t="shared" si="32"/>
        <v>0</v>
      </c>
      <c r="AP99" s="53">
        <f t="shared" si="33"/>
        <v>0</v>
      </c>
      <c r="AQ99" s="53">
        <f t="shared" si="34"/>
        <v>0</v>
      </c>
      <c r="AR99" s="53">
        <f t="shared" si="35"/>
        <v>0</v>
      </c>
      <c r="AS99" s="53">
        <f t="shared" si="36"/>
        <v>0</v>
      </c>
      <c r="AU99" s="53">
        <f t="shared" si="37"/>
        <v>1</v>
      </c>
    </row>
    <row r="100" spans="1:47" x14ac:dyDescent="0.25">
      <c r="A100" s="17">
        <f t="shared" si="16"/>
        <v>0.33333333333333331</v>
      </c>
      <c r="C100" s="8">
        <v>101</v>
      </c>
      <c r="D100" s="54"/>
      <c r="E100" s="54"/>
      <c r="F100" s="54"/>
      <c r="G100" s="54"/>
      <c r="H100" s="54">
        <v>1</v>
      </c>
      <c r="I100" s="54"/>
      <c r="J100" s="54"/>
      <c r="K100" s="54">
        <v>1</v>
      </c>
      <c r="L100" s="54">
        <v>1</v>
      </c>
      <c r="M100" s="54"/>
      <c r="N100" s="54"/>
      <c r="O100" s="54"/>
      <c r="P100" s="55"/>
      <c r="Q100" s="55"/>
      <c r="R100" s="55"/>
      <c r="S100" s="55"/>
      <c r="T100" s="55"/>
      <c r="U100" s="55"/>
      <c r="V100" s="55"/>
      <c r="W100" s="55"/>
      <c r="Y100" s="10">
        <v>101</v>
      </c>
      <c r="Z100" s="53">
        <f t="shared" si="17"/>
        <v>0</v>
      </c>
      <c r="AA100" s="53">
        <f t="shared" si="18"/>
        <v>0</v>
      </c>
      <c r="AB100" s="53">
        <f t="shared" si="19"/>
        <v>0</v>
      </c>
      <c r="AC100" s="53">
        <f t="shared" si="20"/>
        <v>0</v>
      </c>
      <c r="AD100" s="53">
        <f t="shared" si="21"/>
        <v>0.33333333333333331</v>
      </c>
      <c r="AE100" s="53">
        <f t="shared" si="22"/>
        <v>0</v>
      </c>
      <c r="AF100" s="53">
        <f t="shared" si="23"/>
        <v>0</v>
      </c>
      <c r="AG100" s="53">
        <f t="shared" si="24"/>
        <v>0.33333333333333331</v>
      </c>
      <c r="AH100" s="53">
        <f t="shared" si="25"/>
        <v>0.33333333333333331</v>
      </c>
      <c r="AI100" s="53">
        <f t="shared" si="26"/>
        <v>0</v>
      </c>
      <c r="AJ100" s="53">
        <f t="shared" si="27"/>
        <v>0</v>
      </c>
      <c r="AK100" s="53">
        <f t="shared" si="28"/>
        <v>0</v>
      </c>
      <c r="AL100" s="53">
        <f t="shared" si="29"/>
        <v>0</v>
      </c>
      <c r="AM100" s="53">
        <f t="shared" si="30"/>
        <v>0</v>
      </c>
      <c r="AN100" s="53">
        <f t="shared" si="31"/>
        <v>0</v>
      </c>
      <c r="AO100" s="53">
        <f t="shared" si="32"/>
        <v>0</v>
      </c>
      <c r="AP100" s="53">
        <f t="shared" si="33"/>
        <v>0</v>
      </c>
      <c r="AQ100" s="53">
        <f t="shared" si="34"/>
        <v>0</v>
      </c>
      <c r="AR100" s="53">
        <f t="shared" si="35"/>
        <v>0</v>
      </c>
      <c r="AS100" s="53">
        <f t="shared" si="36"/>
        <v>0</v>
      </c>
      <c r="AU100" s="53">
        <f t="shared" si="37"/>
        <v>1</v>
      </c>
    </row>
    <row r="101" spans="1:47" x14ac:dyDescent="0.25">
      <c r="A101" s="17">
        <f t="shared" si="16"/>
        <v>0.33333333333333331</v>
      </c>
      <c r="C101" s="8">
        <v>102</v>
      </c>
      <c r="D101" s="54"/>
      <c r="E101" s="54"/>
      <c r="F101" s="54"/>
      <c r="G101" s="54"/>
      <c r="H101" s="54"/>
      <c r="I101" s="54"/>
      <c r="J101" s="54"/>
      <c r="K101" s="54">
        <v>1</v>
      </c>
      <c r="L101" s="54">
        <v>1</v>
      </c>
      <c r="M101" s="54">
        <v>1</v>
      </c>
      <c r="N101" s="54"/>
      <c r="O101" s="54"/>
      <c r="P101" s="55"/>
      <c r="Q101" s="55"/>
      <c r="R101" s="55"/>
      <c r="S101" s="55"/>
      <c r="T101" s="55"/>
      <c r="U101" s="55"/>
      <c r="V101" s="55"/>
      <c r="W101" s="55"/>
      <c r="Y101" s="10">
        <v>102</v>
      </c>
      <c r="Z101" s="53">
        <f t="shared" si="17"/>
        <v>0</v>
      </c>
      <c r="AA101" s="53">
        <f t="shared" si="18"/>
        <v>0</v>
      </c>
      <c r="AB101" s="53">
        <f t="shared" si="19"/>
        <v>0</v>
      </c>
      <c r="AC101" s="53">
        <f t="shared" si="20"/>
        <v>0</v>
      </c>
      <c r="AD101" s="53">
        <f t="shared" si="21"/>
        <v>0</v>
      </c>
      <c r="AE101" s="53">
        <f t="shared" si="22"/>
        <v>0</v>
      </c>
      <c r="AF101" s="53">
        <f t="shared" si="23"/>
        <v>0</v>
      </c>
      <c r="AG101" s="53">
        <f t="shared" si="24"/>
        <v>0.33333333333333331</v>
      </c>
      <c r="AH101" s="53">
        <f t="shared" si="25"/>
        <v>0.33333333333333331</v>
      </c>
      <c r="AI101" s="53">
        <f t="shared" si="26"/>
        <v>0.33333333333333331</v>
      </c>
      <c r="AJ101" s="53">
        <f t="shared" si="27"/>
        <v>0</v>
      </c>
      <c r="AK101" s="53">
        <f t="shared" si="28"/>
        <v>0</v>
      </c>
      <c r="AL101" s="53">
        <f t="shared" si="29"/>
        <v>0</v>
      </c>
      <c r="AM101" s="53">
        <f t="shared" si="30"/>
        <v>0</v>
      </c>
      <c r="AN101" s="53">
        <f t="shared" si="31"/>
        <v>0</v>
      </c>
      <c r="AO101" s="53">
        <f t="shared" si="32"/>
        <v>0</v>
      </c>
      <c r="AP101" s="53">
        <f t="shared" si="33"/>
        <v>0</v>
      </c>
      <c r="AQ101" s="53">
        <f t="shared" si="34"/>
        <v>0</v>
      </c>
      <c r="AR101" s="53">
        <f t="shared" si="35"/>
        <v>0</v>
      </c>
      <c r="AS101" s="53">
        <f t="shared" si="36"/>
        <v>0</v>
      </c>
      <c r="AU101" s="53">
        <f t="shared" si="37"/>
        <v>1</v>
      </c>
    </row>
    <row r="102" spans="1:47" x14ac:dyDescent="0.25">
      <c r="A102" s="17">
        <f t="shared" si="16"/>
        <v>0.33333333333333331</v>
      </c>
      <c r="C102" s="8">
        <v>110</v>
      </c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>
        <v>1</v>
      </c>
      <c r="O102" s="54">
        <v>1</v>
      </c>
      <c r="P102" s="55"/>
      <c r="Q102" s="55">
        <v>1</v>
      </c>
      <c r="R102" s="55"/>
      <c r="S102" s="55"/>
      <c r="T102" s="55"/>
      <c r="U102" s="55"/>
      <c r="V102" s="55"/>
      <c r="W102" s="55"/>
      <c r="Y102" s="10">
        <v>110</v>
      </c>
      <c r="Z102" s="53">
        <f t="shared" si="17"/>
        <v>0</v>
      </c>
      <c r="AA102" s="53">
        <f t="shared" si="18"/>
        <v>0</v>
      </c>
      <c r="AB102" s="53">
        <f t="shared" si="19"/>
        <v>0</v>
      </c>
      <c r="AC102" s="53">
        <f t="shared" si="20"/>
        <v>0</v>
      </c>
      <c r="AD102" s="53">
        <f t="shared" si="21"/>
        <v>0</v>
      </c>
      <c r="AE102" s="53">
        <f t="shared" si="22"/>
        <v>0</v>
      </c>
      <c r="AF102" s="53">
        <f t="shared" si="23"/>
        <v>0</v>
      </c>
      <c r="AG102" s="53">
        <f t="shared" si="24"/>
        <v>0</v>
      </c>
      <c r="AH102" s="53">
        <f t="shared" si="25"/>
        <v>0</v>
      </c>
      <c r="AI102" s="53">
        <f t="shared" si="26"/>
        <v>0</v>
      </c>
      <c r="AJ102" s="53">
        <f t="shared" si="27"/>
        <v>0.33333333333333331</v>
      </c>
      <c r="AK102" s="53">
        <f t="shared" si="28"/>
        <v>0.33333333333333331</v>
      </c>
      <c r="AL102" s="53">
        <f t="shared" si="29"/>
        <v>0</v>
      </c>
      <c r="AM102" s="53">
        <f t="shared" si="30"/>
        <v>0.33333333333333331</v>
      </c>
      <c r="AN102" s="53">
        <f t="shared" si="31"/>
        <v>0</v>
      </c>
      <c r="AO102" s="53">
        <f t="shared" si="32"/>
        <v>0</v>
      </c>
      <c r="AP102" s="53">
        <f t="shared" si="33"/>
        <v>0</v>
      </c>
      <c r="AQ102" s="53">
        <f t="shared" si="34"/>
        <v>0</v>
      </c>
      <c r="AR102" s="53">
        <f t="shared" si="35"/>
        <v>0</v>
      </c>
      <c r="AS102" s="53">
        <f t="shared" si="36"/>
        <v>0</v>
      </c>
      <c r="AU102" s="53">
        <f t="shared" si="37"/>
        <v>1</v>
      </c>
    </row>
    <row r="103" spans="1:47" x14ac:dyDescent="0.25">
      <c r="A103" s="17">
        <f t="shared" si="16"/>
        <v>0.33333333333333331</v>
      </c>
      <c r="C103" s="8">
        <v>111</v>
      </c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5"/>
      <c r="Q103" s="55">
        <v>1</v>
      </c>
      <c r="R103" s="55">
        <v>1</v>
      </c>
      <c r="S103" s="55">
        <v>1</v>
      </c>
      <c r="T103" s="55"/>
      <c r="U103" s="55"/>
      <c r="V103" s="55"/>
      <c r="W103" s="55"/>
      <c r="Y103" s="10">
        <v>111</v>
      </c>
      <c r="Z103" s="53">
        <f t="shared" si="17"/>
        <v>0</v>
      </c>
      <c r="AA103" s="53">
        <f t="shared" si="18"/>
        <v>0</v>
      </c>
      <c r="AB103" s="53">
        <f t="shared" si="19"/>
        <v>0</v>
      </c>
      <c r="AC103" s="53">
        <f t="shared" si="20"/>
        <v>0</v>
      </c>
      <c r="AD103" s="53">
        <f t="shared" si="21"/>
        <v>0</v>
      </c>
      <c r="AE103" s="53">
        <f t="shared" si="22"/>
        <v>0</v>
      </c>
      <c r="AF103" s="53">
        <f t="shared" si="23"/>
        <v>0</v>
      </c>
      <c r="AG103" s="53">
        <f t="shared" si="24"/>
        <v>0</v>
      </c>
      <c r="AH103" s="53">
        <f t="shared" si="25"/>
        <v>0</v>
      </c>
      <c r="AI103" s="53">
        <f t="shared" si="26"/>
        <v>0</v>
      </c>
      <c r="AJ103" s="53">
        <f t="shared" si="27"/>
        <v>0</v>
      </c>
      <c r="AK103" s="53">
        <f t="shared" si="28"/>
        <v>0</v>
      </c>
      <c r="AL103" s="53">
        <f t="shared" si="29"/>
        <v>0</v>
      </c>
      <c r="AM103" s="53">
        <f t="shared" si="30"/>
        <v>0.33333333333333331</v>
      </c>
      <c r="AN103" s="53">
        <f t="shared" si="31"/>
        <v>0.33333333333333331</v>
      </c>
      <c r="AO103" s="53">
        <f t="shared" si="32"/>
        <v>0.33333333333333331</v>
      </c>
      <c r="AP103" s="53">
        <f t="shared" si="33"/>
        <v>0</v>
      </c>
      <c r="AQ103" s="53">
        <f t="shared" si="34"/>
        <v>0</v>
      </c>
      <c r="AR103" s="53">
        <f t="shared" si="35"/>
        <v>0</v>
      </c>
      <c r="AS103" s="53">
        <f t="shared" si="36"/>
        <v>0</v>
      </c>
      <c r="AU103" s="53">
        <f t="shared" si="37"/>
        <v>1</v>
      </c>
    </row>
    <row r="104" spans="1:47" x14ac:dyDescent="0.25">
      <c r="A104" s="17">
        <f t="shared" si="16"/>
        <v>0.33333333333333331</v>
      </c>
      <c r="C104" s="8">
        <v>120</v>
      </c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5"/>
      <c r="Q104" s="55"/>
      <c r="R104" s="55"/>
      <c r="S104" s="55"/>
      <c r="T104" s="55">
        <v>1</v>
      </c>
      <c r="U104" s="55">
        <v>1</v>
      </c>
      <c r="V104" s="55">
        <v>1</v>
      </c>
      <c r="W104" s="55"/>
      <c r="Y104" s="10">
        <v>120</v>
      </c>
      <c r="Z104" s="53">
        <f t="shared" si="17"/>
        <v>0</v>
      </c>
      <c r="AA104" s="53">
        <f t="shared" si="18"/>
        <v>0</v>
      </c>
      <c r="AB104" s="53">
        <f t="shared" si="19"/>
        <v>0</v>
      </c>
      <c r="AC104" s="53">
        <f t="shared" si="20"/>
        <v>0</v>
      </c>
      <c r="AD104" s="53">
        <f t="shared" si="21"/>
        <v>0</v>
      </c>
      <c r="AE104" s="53">
        <f t="shared" si="22"/>
        <v>0</v>
      </c>
      <c r="AF104" s="53">
        <f t="shared" si="23"/>
        <v>0</v>
      </c>
      <c r="AG104" s="53">
        <f t="shared" si="24"/>
        <v>0</v>
      </c>
      <c r="AH104" s="53">
        <f t="shared" si="25"/>
        <v>0</v>
      </c>
      <c r="AI104" s="53">
        <f t="shared" si="26"/>
        <v>0</v>
      </c>
      <c r="AJ104" s="53">
        <f t="shared" si="27"/>
        <v>0</v>
      </c>
      <c r="AK104" s="53">
        <f t="shared" si="28"/>
        <v>0</v>
      </c>
      <c r="AL104" s="53">
        <f t="shared" si="29"/>
        <v>0</v>
      </c>
      <c r="AM104" s="53">
        <f t="shared" si="30"/>
        <v>0</v>
      </c>
      <c r="AN104" s="53">
        <f t="shared" si="31"/>
        <v>0</v>
      </c>
      <c r="AO104" s="53">
        <f t="shared" si="32"/>
        <v>0</v>
      </c>
      <c r="AP104" s="53">
        <f t="shared" si="33"/>
        <v>0.33333333333333331</v>
      </c>
      <c r="AQ104" s="53">
        <f t="shared" si="34"/>
        <v>0.33333333333333331</v>
      </c>
      <c r="AR104" s="53">
        <f t="shared" si="35"/>
        <v>0.33333333333333331</v>
      </c>
      <c r="AS104" s="53">
        <f t="shared" si="36"/>
        <v>0</v>
      </c>
      <c r="AU104" s="53">
        <f t="shared" si="37"/>
        <v>1</v>
      </c>
    </row>
    <row r="105" spans="1:47" x14ac:dyDescent="0.25">
      <c r="A105" s="17">
        <f t="shared" si="16"/>
        <v>0.33333333333333331</v>
      </c>
      <c r="C105" s="8">
        <v>200</v>
      </c>
      <c r="D105" s="54">
        <v>1</v>
      </c>
      <c r="E105" s="54">
        <v>1</v>
      </c>
      <c r="F105" s="54"/>
      <c r="G105" s="54"/>
      <c r="H105" s="54">
        <v>1</v>
      </c>
      <c r="I105" s="54"/>
      <c r="J105" s="54"/>
      <c r="K105" s="54"/>
      <c r="L105" s="54"/>
      <c r="M105" s="54"/>
      <c r="N105" s="54"/>
      <c r="O105" s="54"/>
      <c r="P105" s="55"/>
      <c r="Q105" s="55"/>
      <c r="R105" s="55"/>
      <c r="S105" s="55"/>
      <c r="T105" s="55"/>
      <c r="U105" s="55"/>
      <c r="V105" s="55"/>
      <c r="W105" s="55"/>
      <c r="Y105" s="10">
        <v>200</v>
      </c>
      <c r="Z105" s="53">
        <f t="shared" si="17"/>
        <v>0.33333333333333331</v>
      </c>
      <c r="AA105" s="53">
        <f t="shared" si="18"/>
        <v>0.33333333333333331</v>
      </c>
      <c r="AB105" s="53">
        <f t="shared" si="19"/>
        <v>0</v>
      </c>
      <c r="AC105" s="53">
        <f t="shared" si="20"/>
        <v>0</v>
      </c>
      <c r="AD105" s="53">
        <f t="shared" si="21"/>
        <v>0.33333333333333331</v>
      </c>
      <c r="AE105" s="53">
        <f t="shared" si="22"/>
        <v>0</v>
      </c>
      <c r="AF105" s="53">
        <f t="shared" si="23"/>
        <v>0</v>
      </c>
      <c r="AG105" s="53">
        <f t="shared" si="24"/>
        <v>0</v>
      </c>
      <c r="AH105" s="53">
        <f t="shared" si="25"/>
        <v>0</v>
      </c>
      <c r="AI105" s="53">
        <f t="shared" si="26"/>
        <v>0</v>
      </c>
      <c r="AJ105" s="53">
        <f t="shared" si="27"/>
        <v>0</v>
      </c>
      <c r="AK105" s="53">
        <f t="shared" si="28"/>
        <v>0</v>
      </c>
      <c r="AL105" s="53">
        <f t="shared" si="29"/>
        <v>0</v>
      </c>
      <c r="AM105" s="53">
        <f t="shared" si="30"/>
        <v>0</v>
      </c>
      <c r="AN105" s="53">
        <f t="shared" si="31"/>
        <v>0</v>
      </c>
      <c r="AO105" s="53">
        <f t="shared" si="32"/>
        <v>0</v>
      </c>
      <c r="AP105" s="53">
        <f t="shared" si="33"/>
        <v>0</v>
      </c>
      <c r="AQ105" s="53">
        <f t="shared" si="34"/>
        <v>0</v>
      </c>
      <c r="AR105" s="53">
        <f t="shared" si="35"/>
        <v>0</v>
      </c>
      <c r="AS105" s="53">
        <f t="shared" si="36"/>
        <v>0</v>
      </c>
      <c r="AU105" s="53">
        <f t="shared" si="37"/>
        <v>1</v>
      </c>
    </row>
    <row r="106" spans="1:47" x14ac:dyDescent="0.25">
      <c r="A106" s="17">
        <f t="shared" si="16"/>
        <v>0.33333333333333331</v>
      </c>
      <c r="C106" s="8">
        <v>201</v>
      </c>
      <c r="D106" s="54"/>
      <c r="E106" s="54"/>
      <c r="F106" s="54"/>
      <c r="G106" s="54"/>
      <c r="H106" s="54">
        <v>1</v>
      </c>
      <c r="I106" s="54"/>
      <c r="J106" s="54"/>
      <c r="K106" s="54">
        <v>1</v>
      </c>
      <c r="L106" s="54">
        <v>1</v>
      </c>
      <c r="M106" s="54"/>
      <c r="N106" s="54"/>
      <c r="O106" s="54"/>
      <c r="P106" s="55"/>
      <c r="Q106" s="55"/>
      <c r="R106" s="55"/>
      <c r="S106" s="55"/>
      <c r="T106" s="55"/>
      <c r="U106" s="55"/>
      <c r="V106" s="55"/>
      <c r="W106" s="55"/>
      <c r="Y106" s="10">
        <v>201</v>
      </c>
      <c r="Z106" s="53">
        <f t="shared" si="17"/>
        <v>0</v>
      </c>
      <c r="AA106" s="53">
        <f t="shared" si="18"/>
        <v>0</v>
      </c>
      <c r="AB106" s="53">
        <f t="shared" si="19"/>
        <v>0</v>
      </c>
      <c r="AC106" s="53">
        <f t="shared" si="20"/>
        <v>0</v>
      </c>
      <c r="AD106" s="53">
        <f t="shared" si="21"/>
        <v>0.33333333333333331</v>
      </c>
      <c r="AE106" s="53">
        <f t="shared" si="22"/>
        <v>0</v>
      </c>
      <c r="AF106" s="53">
        <f t="shared" si="23"/>
        <v>0</v>
      </c>
      <c r="AG106" s="53">
        <f t="shared" si="24"/>
        <v>0.33333333333333331</v>
      </c>
      <c r="AH106" s="53">
        <f t="shared" si="25"/>
        <v>0.33333333333333331</v>
      </c>
      <c r="AI106" s="53">
        <f t="shared" si="26"/>
        <v>0</v>
      </c>
      <c r="AJ106" s="53">
        <f t="shared" si="27"/>
        <v>0</v>
      </c>
      <c r="AK106" s="53">
        <f t="shared" si="28"/>
        <v>0</v>
      </c>
      <c r="AL106" s="53">
        <f t="shared" si="29"/>
        <v>0</v>
      </c>
      <c r="AM106" s="53">
        <f t="shared" si="30"/>
        <v>0</v>
      </c>
      <c r="AN106" s="53">
        <f t="shared" si="31"/>
        <v>0</v>
      </c>
      <c r="AO106" s="53">
        <f t="shared" si="32"/>
        <v>0</v>
      </c>
      <c r="AP106" s="53">
        <f t="shared" si="33"/>
        <v>0</v>
      </c>
      <c r="AQ106" s="53">
        <f t="shared" si="34"/>
        <v>0</v>
      </c>
      <c r="AR106" s="53">
        <f t="shared" si="35"/>
        <v>0</v>
      </c>
      <c r="AS106" s="53">
        <f t="shared" si="36"/>
        <v>0</v>
      </c>
      <c r="AU106" s="53">
        <f t="shared" si="37"/>
        <v>1</v>
      </c>
    </row>
    <row r="107" spans="1:47" x14ac:dyDescent="0.25">
      <c r="A107" s="17">
        <f t="shared" si="16"/>
        <v>0.33333333333333331</v>
      </c>
      <c r="C107" s="8">
        <v>210</v>
      </c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>
        <v>1</v>
      </c>
      <c r="O107" s="54">
        <v>1</v>
      </c>
      <c r="P107" s="55"/>
      <c r="Q107" s="55">
        <v>1</v>
      </c>
      <c r="R107" s="55"/>
      <c r="S107" s="55"/>
      <c r="T107" s="55"/>
      <c r="U107" s="55"/>
      <c r="V107" s="55"/>
      <c r="W107" s="55"/>
      <c r="Y107" s="10">
        <v>210</v>
      </c>
      <c r="Z107" s="53">
        <f t="shared" si="17"/>
        <v>0</v>
      </c>
      <c r="AA107" s="53">
        <f t="shared" si="18"/>
        <v>0</v>
      </c>
      <c r="AB107" s="53">
        <f t="shared" si="19"/>
        <v>0</v>
      </c>
      <c r="AC107" s="53">
        <f t="shared" si="20"/>
        <v>0</v>
      </c>
      <c r="AD107" s="53">
        <f t="shared" si="21"/>
        <v>0</v>
      </c>
      <c r="AE107" s="53">
        <f t="shared" si="22"/>
        <v>0</v>
      </c>
      <c r="AF107" s="53">
        <f t="shared" si="23"/>
        <v>0</v>
      </c>
      <c r="AG107" s="53">
        <f t="shared" si="24"/>
        <v>0</v>
      </c>
      <c r="AH107" s="53">
        <f t="shared" si="25"/>
        <v>0</v>
      </c>
      <c r="AI107" s="53">
        <f t="shared" si="26"/>
        <v>0</v>
      </c>
      <c r="AJ107" s="53">
        <f t="shared" si="27"/>
        <v>0.33333333333333331</v>
      </c>
      <c r="AK107" s="53">
        <f t="shared" si="28"/>
        <v>0.33333333333333331</v>
      </c>
      <c r="AL107" s="53">
        <f t="shared" si="29"/>
        <v>0</v>
      </c>
      <c r="AM107" s="53">
        <f t="shared" si="30"/>
        <v>0.33333333333333331</v>
      </c>
      <c r="AN107" s="53">
        <f t="shared" si="31"/>
        <v>0</v>
      </c>
      <c r="AO107" s="53">
        <f t="shared" si="32"/>
        <v>0</v>
      </c>
      <c r="AP107" s="53">
        <f t="shared" si="33"/>
        <v>0</v>
      </c>
      <c r="AQ107" s="53">
        <f t="shared" si="34"/>
        <v>0</v>
      </c>
      <c r="AR107" s="53">
        <f t="shared" si="35"/>
        <v>0</v>
      </c>
      <c r="AS107" s="53">
        <f t="shared" si="36"/>
        <v>0</v>
      </c>
      <c r="AU107" s="53">
        <f t="shared" si="37"/>
        <v>1</v>
      </c>
    </row>
    <row r="108" spans="1:47" x14ac:dyDescent="0.25">
      <c r="A108" s="17">
        <f t="shared" si="16"/>
        <v>0.33333333333333331</v>
      </c>
      <c r="C108" s="8">
        <v>300</v>
      </c>
      <c r="D108" s="54">
        <v>1</v>
      </c>
      <c r="E108" s="54">
        <v>1</v>
      </c>
      <c r="F108" s="54"/>
      <c r="G108" s="54"/>
      <c r="H108" s="54">
        <v>1</v>
      </c>
      <c r="I108" s="54"/>
      <c r="J108" s="54"/>
      <c r="K108" s="54"/>
      <c r="L108" s="54"/>
      <c r="M108" s="54"/>
      <c r="N108" s="54"/>
      <c r="O108" s="54"/>
      <c r="P108" s="55"/>
      <c r="Q108" s="55"/>
      <c r="R108" s="55"/>
      <c r="S108" s="55"/>
      <c r="T108" s="55"/>
      <c r="U108" s="55"/>
      <c r="V108" s="55"/>
      <c r="W108" s="55"/>
      <c r="Y108" s="10">
        <v>300</v>
      </c>
      <c r="Z108" s="53">
        <f t="shared" si="17"/>
        <v>0.33333333333333331</v>
      </c>
      <c r="AA108" s="53">
        <f t="shared" si="18"/>
        <v>0.33333333333333331</v>
      </c>
      <c r="AB108" s="53">
        <f t="shared" si="19"/>
        <v>0</v>
      </c>
      <c r="AC108" s="53">
        <f t="shared" si="20"/>
        <v>0</v>
      </c>
      <c r="AD108" s="53">
        <f t="shared" si="21"/>
        <v>0.33333333333333331</v>
      </c>
      <c r="AE108" s="53">
        <f t="shared" si="22"/>
        <v>0</v>
      </c>
      <c r="AF108" s="53">
        <f t="shared" si="23"/>
        <v>0</v>
      </c>
      <c r="AG108" s="53">
        <f t="shared" si="24"/>
        <v>0</v>
      </c>
      <c r="AH108" s="53">
        <f t="shared" si="25"/>
        <v>0</v>
      </c>
      <c r="AI108" s="53">
        <f t="shared" si="26"/>
        <v>0</v>
      </c>
      <c r="AJ108" s="53">
        <f t="shared" si="27"/>
        <v>0</v>
      </c>
      <c r="AK108" s="53">
        <f t="shared" si="28"/>
        <v>0</v>
      </c>
      <c r="AL108" s="53">
        <f t="shared" si="29"/>
        <v>0</v>
      </c>
      <c r="AM108" s="53">
        <f t="shared" si="30"/>
        <v>0</v>
      </c>
      <c r="AN108" s="53">
        <f t="shared" si="31"/>
        <v>0</v>
      </c>
      <c r="AO108" s="53">
        <f t="shared" si="32"/>
        <v>0</v>
      </c>
      <c r="AP108" s="53">
        <f t="shared" si="33"/>
        <v>0</v>
      </c>
      <c r="AQ108" s="53">
        <f t="shared" si="34"/>
        <v>0</v>
      </c>
      <c r="AR108" s="53">
        <f t="shared" si="35"/>
        <v>0</v>
      </c>
      <c r="AS108" s="53">
        <f t="shared" si="36"/>
        <v>0</v>
      </c>
      <c r="AU108" s="53">
        <f t="shared" si="37"/>
        <v>1</v>
      </c>
    </row>
  </sheetData>
  <mergeCells count="5">
    <mergeCell ref="A1:L1"/>
    <mergeCell ref="A2:P2"/>
    <mergeCell ref="F7:I7"/>
    <mergeCell ref="B7:E7"/>
    <mergeCell ref="J7:M7"/>
  </mergeCells>
  <conditionalFormatting sqref="Q10:Q13">
    <cfRule type="duplicateValues" dxfId="47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94EBA20-BA64-469D-9A39-09B8C4E7CAE3}">
            <x14:iconSet iconSet="3Symbols" showValue="0" custom="1">
              <x14:cfvo type="percent">
                <xm:f>0</xm:f>
              </x14:cfvo>
              <x14:cfvo type="num" gte="0">
                <xm:f>3.5</xm:f>
              </x14:cfvo>
              <x14:cfvo type="num" gte="0">
                <xm:f>8</xm:f>
              </x14:cfvo>
              <x14:cfIcon iconSet="3Symbols" iconId="2"/>
              <x14:cfIcon iconSet="3Symbols" iconId="0"/>
              <x14:cfIcon iconSet="3Symbols" iconId="0"/>
            </x14:iconSet>
          </x14:cfRule>
          <xm:sqref>M17:M37 T17:T37 F17:F38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FBA9-48F3-40F3-BD4D-55D351506BD7}">
  <dimension ref="A1:Z121"/>
  <sheetViews>
    <sheetView topLeftCell="A8" zoomScaleNormal="100" workbookViewId="0">
      <selection activeCell="A19" sqref="A19"/>
    </sheetView>
  </sheetViews>
  <sheetFormatPr defaultRowHeight="15" x14ac:dyDescent="0.25"/>
  <cols>
    <col min="1" max="1" width="5.5703125" customWidth="1"/>
    <col min="2" max="2" width="4.140625" customWidth="1"/>
    <col min="3" max="3" width="6.28515625" customWidth="1"/>
    <col min="4" max="4" width="5.28515625" customWidth="1"/>
    <col min="5" max="24" width="6" customWidth="1"/>
    <col min="25" max="25" width="2.85546875" customWidth="1"/>
    <col min="26" max="26" width="4.85546875" bestFit="1" customWidth="1"/>
  </cols>
  <sheetData>
    <row r="1" spans="1:17" ht="15.75" x14ac:dyDescent="0.25">
      <c r="A1" s="187" t="s">
        <v>36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23"/>
      <c r="N1" s="24"/>
      <c r="O1" s="24"/>
      <c r="P1" s="24"/>
      <c r="Q1" s="24"/>
    </row>
    <row r="2" spans="1:17" ht="15.75" x14ac:dyDescent="0.25">
      <c r="A2" s="187" t="s">
        <v>35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23"/>
    </row>
    <row r="3" spans="1:17" x14ac:dyDescent="0.25">
      <c r="A3" s="3" t="s">
        <v>10</v>
      </c>
      <c r="B3" s="3"/>
      <c r="C3" s="3" t="s">
        <v>11</v>
      </c>
    </row>
    <row r="4" spans="1:17" x14ac:dyDescent="0.25">
      <c r="A4" s="3"/>
      <c r="B4" s="3"/>
      <c r="C4" s="3"/>
    </row>
    <row r="5" spans="1:17" x14ac:dyDescent="0.25">
      <c r="A5" s="2" t="s">
        <v>38</v>
      </c>
      <c r="B5" s="3"/>
      <c r="C5" s="3"/>
      <c r="D5" t="s">
        <v>39</v>
      </c>
    </row>
    <row r="6" spans="1:17" x14ac:dyDescent="0.25">
      <c r="A6" s="2"/>
      <c r="B6" s="3"/>
      <c r="C6" s="3"/>
    </row>
    <row r="7" spans="1:17" x14ac:dyDescent="0.25">
      <c r="A7" s="2" t="s">
        <v>83</v>
      </c>
      <c r="B7" s="3"/>
      <c r="C7" s="3"/>
    </row>
    <row r="8" spans="1:17" x14ac:dyDescent="0.25">
      <c r="A8" s="2" t="s">
        <v>3</v>
      </c>
      <c r="E8">
        <v>10</v>
      </c>
      <c r="F8" t="s">
        <v>75</v>
      </c>
    </row>
    <row r="9" spans="1:17" x14ac:dyDescent="0.25">
      <c r="A9" s="2" t="s">
        <v>76</v>
      </c>
      <c r="B9" s="3"/>
      <c r="C9" s="3"/>
      <c r="E9" s="66">
        <v>0.25</v>
      </c>
    </row>
    <row r="10" spans="1:17" x14ac:dyDescent="0.25">
      <c r="A10" s="2" t="s">
        <v>77</v>
      </c>
      <c r="B10" s="3"/>
      <c r="C10" s="3"/>
      <c r="E10" s="66">
        <v>0.95833333333333337</v>
      </c>
    </row>
    <row r="11" spans="1:17" x14ac:dyDescent="0.25">
      <c r="A11" s="2" t="s">
        <v>78</v>
      </c>
      <c r="B11" s="3"/>
      <c r="C11" s="3"/>
      <c r="E11" s="66">
        <f>(E10-E9)</f>
        <v>0.70833333333333337</v>
      </c>
      <c r="F11" s="1" t="s">
        <v>81</v>
      </c>
      <c r="G11">
        <v>17</v>
      </c>
      <c r="H11" t="s">
        <v>82</v>
      </c>
    </row>
    <row r="12" spans="1:17" x14ac:dyDescent="0.25">
      <c r="A12" s="2" t="s">
        <v>80</v>
      </c>
      <c r="B12" s="3"/>
      <c r="C12" s="3"/>
      <c r="E12">
        <v>60</v>
      </c>
      <c r="F12" t="s">
        <v>75</v>
      </c>
    </row>
    <row r="13" spans="1:17" x14ac:dyDescent="0.25">
      <c r="A13" s="2" t="s">
        <v>79</v>
      </c>
      <c r="B13" s="3"/>
      <c r="C13" s="3"/>
      <c r="E13">
        <f>17*60/E8</f>
        <v>102</v>
      </c>
    </row>
    <row r="14" spans="1:17" x14ac:dyDescent="0.25">
      <c r="A14" s="2"/>
      <c r="B14" s="3"/>
      <c r="C14" s="3"/>
    </row>
    <row r="15" spans="1:17" x14ac:dyDescent="0.25">
      <c r="A15" s="2"/>
      <c r="B15" s="3"/>
      <c r="C15" s="3"/>
    </row>
    <row r="16" spans="1:17" x14ac:dyDescent="0.25">
      <c r="A16" s="2"/>
      <c r="B16" s="3"/>
      <c r="C16" s="3"/>
    </row>
    <row r="17" spans="1:20" x14ac:dyDescent="0.25">
      <c r="A17" s="2" t="s">
        <v>50</v>
      </c>
      <c r="B17" s="3"/>
      <c r="C17" s="3"/>
    </row>
    <row r="18" spans="1:20" x14ac:dyDescent="0.25">
      <c r="A18" s="33"/>
      <c r="B18" s="189">
        <v>10</v>
      </c>
      <c r="C18" s="189"/>
      <c r="D18" s="189"/>
      <c r="E18" s="189"/>
      <c r="F18" s="189">
        <v>20</v>
      </c>
      <c r="G18" s="189"/>
      <c r="H18" s="189"/>
      <c r="I18" s="189"/>
      <c r="J18" s="189">
        <v>30</v>
      </c>
      <c r="K18" s="189"/>
      <c r="L18" s="189"/>
      <c r="M18" s="189"/>
      <c r="N18" s="26"/>
      <c r="O18" s="2"/>
      <c r="P18" s="2"/>
      <c r="Q18" s="25"/>
    </row>
    <row r="19" spans="1:20" x14ac:dyDescent="0.25">
      <c r="A19" s="7">
        <v>0</v>
      </c>
      <c r="B19" s="27">
        <v>10</v>
      </c>
      <c r="C19" s="28">
        <v>11</v>
      </c>
      <c r="D19" s="28">
        <v>12</v>
      </c>
      <c r="E19" s="28">
        <v>13</v>
      </c>
      <c r="F19" s="27">
        <v>20</v>
      </c>
      <c r="G19" s="7">
        <v>21</v>
      </c>
      <c r="H19" s="7">
        <v>22</v>
      </c>
      <c r="I19" s="7">
        <v>23</v>
      </c>
      <c r="J19" s="27">
        <v>30</v>
      </c>
      <c r="K19" s="7">
        <v>31</v>
      </c>
      <c r="L19" s="7">
        <v>32</v>
      </c>
      <c r="M19" s="7">
        <v>33</v>
      </c>
      <c r="N19" s="26"/>
      <c r="O19" s="2"/>
      <c r="P19" s="2"/>
      <c r="Q19" s="25"/>
    </row>
    <row r="20" spans="1:20" x14ac:dyDescent="0.25">
      <c r="A20" s="2" t="s">
        <v>40</v>
      </c>
      <c r="B20" s="29">
        <v>10</v>
      </c>
      <c r="C20" s="32">
        <v>11</v>
      </c>
      <c r="D20" s="32">
        <v>12</v>
      </c>
      <c r="E20" s="32">
        <v>13</v>
      </c>
      <c r="F20" s="29">
        <v>20</v>
      </c>
      <c r="G20" s="32">
        <v>21</v>
      </c>
      <c r="H20" s="32">
        <v>22</v>
      </c>
      <c r="I20" s="32">
        <v>23</v>
      </c>
      <c r="J20" s="29">
        <v>30</v>
      </c>
      <c r="K20" s="32">
        <v>31</v>
      </c>
      <c r="L20" s="32">
        <v>32</v>
      </c>
      <c r="M20" s="34">
        <v>33</v>
      </c>
      <c r="N20" s="36"/>
      <c r="O20" s="2"/>
      <c r="P20" s="2"/>
      <c r="Q20" s="25"/>
    </row>
    <row r="21" spans="1:20" x14ac:dyDescent="0.25">
      <c r="A21" s="2">
        <v>0</v>
      </c>
      <c r="B21" s="29">
        <v>100</v>
      </c>
      <c r="C21" s="32">
        <v>110</v>
      </c>
      <c r="D21" s="32">
        <v>120</v>
      </c>
      <c r="E21" s="32">
        <v>130</v>
      </c>
      <c r="F21" s="29">
        <v>200</v>
      </c>
      <c r="G21" s="32">
        <v>210</v>
      </c>
      <c r="H21" s="32">
        <v>220</v>
      </c>
      <c r="I21" s="32">
        <v>230</v>
      </c>
      <c r="J21" s="29">
        <v>300</v>
      </c>
      <c r="K21" s="32">
        <v>310</v>
      </c>
      <c r="L21" s="32">
        <v>320</v>
      </c>
      <c r="M21" s="34">
        <v>330</v>
      </c>
      <c r="N21" s="36"/>
      <c r="O21" s="1"/>
    </row>
    <row r="22" spans="1:20" x14ac:dyDescent="0.25">
      <c r="A22" s="2">
        <v>1</v>
      </c>
      <c r="B22" s="29">
        <v>101</v>
      </c>
      <c r="C22" s="30">
        <v>111</v>
      </c>
      <c r="D22" s="30">
        <v>121</v>
      </c>
      <c r="E22" s="30">
        <v>131</v>
      </c>
      <c r="F22" s="29">
        <v>201</v>
      </c>
      <c r="G22" s="30">
        <v>211</v>
      </c>
      <c r="H22" s="30">
        <v>221</v>
      </c>
      <c r="I22" s="30">
        <v>231</v>
      </c>
      <c r="J22" s="29">
        <v>301</v>
      </c>
      <c r="K22" s="30">
        <v>311</v>
      </c>
      <c r="L22" s="30">
        <v>321</v>
      </c>
      <c r="M22" s="35">
        <v>331</v>
      </c>
      <c r="N22" s="36"/>
      <c r="O22" s="1"/>
      <c r="P22" s="1"/>
    </row>
    <row r="23" spans="1:20" x14ac:dyDescent="0.25">
      <c r="A23" s="2">
        <v>2</v>
      </c>
      <c r="B23" s="29">
        <v>102</v>
      </c>
      <c r="C23" s="30">
        <v>112</v>
      </c>
      <c r="D23" s="30">
        <v>122</v>
      </c>
      <c r="E23" s="30">
        <v>132</v>
      </c>
      <c r="F23" s="29">
        <v>202</v>
      </c>
      <c r="G23" s="30">
        <v>212</v>
      </c>
      <c r="H23" s="30">
        <v>222</v>
      </c>
      <c r="I23" s="30">
        <v>232</v>
      </c>
      <c r="J23" s="29">
        <v>302</v>
      </c>
      <c r="K23" s="30">
        <v>312</v>
      </c>
      <c r="L23" s="30">
        <v>322</v>
      </c>
      <c r="M23" s="35">
        <v>332</v>
      </c>
      <c r="N23" s="36"/>
      <c r="O23" s="1"/>
      <c r="P23" s="1"/>
    </row>
    <row r="24" spans="1:20" x14ac:dyDescent="0.25">
      <c r="A24" s="2">
        <v>3</v>
      </c>
      <c r="B24" s="29">
        <v>103</v>
      </c>
      <c r="C24" s="30">
        <v>113</v>
      </c>
      <c r="D24" s="30">
        <v>123</v>
      </c>
      <c r="E24" s="30">
        <v>133</v>
      </c>
      <c r="F24" s="29">
        <v>203</v>
      </c>
      <c r="G24" s="30">
        <v>213</v>
      </c>
      <c r="H24" s="30">
        <v>223</v>
      </c>
      <c r="I24" s="30">
        <v>233</v>
      </c>
      <c r="J24" s="29">
        <v>303</v>
      </c>
      <c r="K24" s="30">
        <v>313</v>
      </c>
      <c r="L24" s="30">
        <v>323</v>
      </c>
      <c r="M24" s="35">
        <v>333</v>
      </c>
      <c r="N24" s="36"/>
      <c r="O24" s="1"/>
      <c r="P24" s="1"/>
    </row>
    <row r="25" spans="1:20" x14ac:dyDescent="0.25">
      <c r="A25" s="2"/>
      <c r="B25" s="3"/>
      <c r="C25" s="3"/>
    </row>
    <row r="26" spans="1:20" x14ac:dyDescent="0.25">
      <c r="A26" s="2"/>
      <c r="B26" s="3"/>
      <c r="C26" s="3"/>
    </row>
    <row r="27" spans="1:20" x14ac:dyDescent="0.25">
      <c r="A27" s="5" t="s">
        <v>45</v>
      </c>
      <c r="B27" s="28" t="s">
        <v>41</v>
      </c>
      <c r="C27" s="28" t="s">
        <v>42</v>
      </c>
      <c r="D27" s="28" t="s">
        <v>43</v>
      </c>
      <c r="E27" s="37" t="s">
        <v>44</v>
      </c>
      <c r="F27" s="39" t="s">
        <v>51</v>
      </c>
      <c r="H27" s="5" t="s">
        <v>45</v>
      </c>
      <c r="I27" s="28" t="s">
        <v>41</v>
      </c>
      <c r="J27" s="28" t="s">
        <v>42</v>
      </c>
      <c r="K27" s="28" t="s">
        <v>43</v>
      </c>
      <c r="L27" s="37" t="s">
        <v>44</v>
      </c>
      <c r="M27" s="39" t="s">
        <v>51</v>
      </c>
      <c r="O27" s="5" t="s">
        <v>45</v>
      </c>
      <c r="P27" s="28" t="s">
        <v>41</v>
      </c>
      <c r="Q27" s="28" t="s">
        <v>42</v>
      </c>
      <c r="R27" s="28" t="s">
        <v>43</v>
      </c>
      <c r="S27" s="37" t="s">
        <v>44</v>
      </c>
      <c r="T27" s="39" t="s">
        <v>51</v>
      </c>
    </row>
    <row r="28" spans="1:20" x14ac:dyDescent="0.25">
      <c r="A28" s="31">
        <v>1</v>
      </c>
      <c r="B28" s="25"/>
      <c r="C28" s="25"/>
      <c r="D28">
        <v>1</v>
      </c>
      <c r="E28" s="43">
        <v>1</v>
      </c>
      <c r="F28" s="38">
        <f>E28</f>
        <v>1</v>
      </c>
      <c r="H28" s="31">
        <v>2</v>
      </c>
      <c r="I28" s="25"/>
      <c r="J28" s="25"/>
      <c r="K28">
        <v>2</v>
      </c>
      <c r="L28" s="26">
        <f>I28+J28+K28</f>
        <v>2</v>
      </c>
      <c r="M28" s="38">
        <f>L28</f>
        <v>2</v>
      </c>
      <c r="O28" s="31">
        <v>3</v>
      </c>
      <c r="R28">
        <v>3</v>
      </c>
      <c r="S28" s="26">
        <f>P28+Q28+R28</f>
        <v>3</v>
      </c>
      <c r="T28" s="38">
        <f>S28</f>
        <v>3</v>
      </c>
    </row>
    <row r="29" spans="1:20" x14ac:dyDescent="0.25">
      <c r="A29" s="31">
        <v>10</v>
      </c>
      <c r="C29">
        <v>1</v>
      </c>
      <c r="D29">
        <v>0</v>
      </c>
      <c r="E29" s="26">
        <f>B29+C29+D29</f>
        <v>1</v>
      </c>
      <c r="F29" s="38">
        <f>E29</f>
        <v>1</v>
      </c>
      <c r="H29" s="31">
        <v>20</v>
      </c>
      <c r="J29">
        <v>2</v>
      </c>
      <c r="K29">
        <v>0</v>
      </c>
      <c r="L29" s="26">
        <f>I29+J29+K29</f>
        <v>2</v>
      </c>
      <c r="M29" s="38">
        <f>L29</f>
        <v>2</v>
      </c>
      <c r="O29" s="31">
        <v>30</v>
      </c>
      <c r="P29">
        <v>0</v>
      </c>
      <c r="Q29">
        <v>3</v>
      </c>
      <c r="R29">
        <v>0</v>
      </c>
      <c r="S29" s="26">
        <f>P29+Q29+R29</f>
        <v>3</v>
      </c>
      <c r="T29" s="38">
        <f>S29</f>
        <v>3</v>
      </c>
    </row>
    <row r="30" spans="1:20" x14ac:dyDescent="0.25">
      <c r="A30" s="31">
        <v>100</v>
      </c>
      <c r="B30">
        <v>1</v>
      </c>
      <c r="C30">
        <v>0</v>
      </c>
      <c r="D30">
        <v>0</v>
      </c>
      <c r="E30" s="26">
        <f t="shared" ref="E30:E38" si="0">B30+C30+D30</f>
        <v>1</v>
      </c>
      <c r="F30" s="38">
        <f t="shared" ref="F30:F49" si="1">E30</f>
        <v>1</v>
      </c>
      <c r="H30" s="31">
        <v>200</v>
      </c>
      <c r="I30">
        <v>2</v>
      </c>
      <c r="J30">
        <v>0</v>
      </c>
      <c r="K30">
        <v>0</v>
      </c>
      <c r="L30" s="26">
        <f t="shared" ref="L30:L38" si="2">I30+J30+K30</f>
        <v>2</v>
      </c>
      <c r="M30" s="38">
        <f t="shared" ref="M30:M48" si="3">L30</f>
        <v>2</v>
      </c>
      <c r="O30" s="31">
        <v>300</v>
      </c>
      <c r="P30">
        <v>3</v>
      </c>
      <c r="Q30">
        <v>0</v>
      </c>
      <c r="R30">
        <v>0</v>
      </c>
      <c r="S30" s="26">
        <f t="shared" ref="S30:S38" si="4">P30+Q30+R30</f>
        <v>3</v>
      </c>
      <c r="T30" s="38">
        <f t="shared" ref="T30:T48" si="5">S30</f>
        <v>3</v>
      </c>
    </row>
    <row r="31" spans="1:20" x14ac:dyDescent="0.25">
      <c r="A31" s="31">
        <v>101</v>
      </c>
      <c r="B31">
        <v>1</v>
      </c>
      <c r="C31">
        <v>0</v>
      </c>
      <c r="D31">
        <v>1</v>
      </c>
      <c r="E31" s="26">
        <f t="shared" si="0"/>
        <v>2</v>
      </c>
      <c r="F31" s="38">
        <f t="shared" si="1"/>
        <v>2</v>
      </c>
      <c r="H31" s="31">
        <v>201</v>
      </c>
      <c r="I31">
        <v>2</v>
      </c>
      <c r="J31">
        <v>0</v>
      </c>
      <c r="K31">
        <v>1</v>
      </c>
      <c r="L31" s="26">
        <f t="shared" si="2"/>
        <v>3</v>
      </c>
      <c r="M31" s="38">
        <f t="shared" si="3"/>
        <v>3</v>
      </c>
      <c r="O31" s="31">
        <v>301</v>
      </c>
      <c r="P31">
        <v>3</v>
      </c>
      <c r="Q31">
        <v>0</v>
      </c>
      <c r="R31">
        <v>1</v>
      </c>
      <c r="S31" s="26">
        <f t="shared" si="4"/>
        <v>4</v>
      </c>
      <c r="T31" s="38">
        <f t="shared" si="5"/>
        <v>4</v>
      </c>
    </row>
    <row r="32" spans="1:20" x14ac:dyDescent="0.25">
      <c r="A32" s="31">
        <v>102</v>
      </c>
      <c r="B32">
        <v>1</v>
      </c>
      <c r="C32">
        <v>0</v>
      </c>
      <c r="D32">
        <v>2</v>
      </c>
      <c r="E32" s="26">
        <f t="shared" si="0"/>
        <v>3</v>
      </c>
      <c r="F32" s="38">
        <f t="shared" si="1"/>
        <v>3</v>
      </c>
      <c r="H32" s="31">
        <v>202</v>
      </c>
      <c r="I32">
        <v>2</v>
      </c>
      <c r="J32">
        <v>0</v>
      </c>
      <c r="K32">
        <v>2</v>
      </c>
      <c r="L32" s="26">
        <f t="shared" si="2"/>
        <v>4</v>
      </c>
      <c r="M32" s="38">
        <f t="shared" si="3"/>
        <v>4</v>
      </c>
      <c r="O32" s="31">
        <v>302</v>
      </c>
      <c r="P32">
        <v>3</v>
      </c>
      <c r="Q32">
        <v>0</v>
      </c>
      <c r="R32">
        <v>2</v>
      </c>
      <c r="S32" s="26">
        <f t="shared" si="4"/>
        <v>5</v>
      </c>
      <c r="T32" s="38">
        <f t="shared" si="5"/>
        <v>5</v>
      </c>
    </row>
    <row r="33" spans="1:20" x14ac:dyDescent="0.25">
      <c r="A33" s="31">
        <v>103</v>
      </c>
      <c r="B33">
        <v>1</v>
      </c>
      <c r="C33">
        <v>0</v>
      </c>
      <c r="D33">
        <v>3</v>
      </c>
      <c r="E33" s="26">
        <f t="shared" si="0"/>
        <v>4</v>
      </c>
      <c r="F33" s="38">
        <f t="shared" si="1"/>
        <v>4</v>
      </c>
      <c r="H33" s="31">
        <v>203</v>
      </c>
      <c r="I33">
        <v>2</v>
      </c>
      <c r="J33">
        <v>0</v>
      </c>
      <c r="K33">
        <v>3</v>
      </c>
      <c r="L33" s="26">
        <f t="shared" si="2"/>
        <v>5</v>
      </c>
      <c r="M33" s="38">
        <f t="shared" si="3"/>
        <v>5</v>
      </c>
      <c r="O33" s="31">
        <v>303</v>
      </c>
      <c r="P33">
        <v>3</v>
      </c>
      <c r="Q33">
        <v>0</v>
      </c>
      <c r="R33">
        <v>3</v>
      </c>
      <c r="S33" s="26">
        <f t="shared" si="4"/>
        <v>6</v>
      </c>
      <c r="T33" s="38">
        <f t="shared" si="5"/>
        <v>6</v>
      </c>
    </row>
    <row r="34" spans="1:20" x14ac:dyDescent="0.25">
      <c r="A34" s="4">
        <v>11</v>
      </c>
      <c r="C34">
        <v>1</v>
      </c>
      <c r="D34">
        <v>1</v>
      </c>
      <c r="E34" s="26">
        <f t="shared" si="0"/>
        <v>2</v>
      </c>
      <c r="F34" s="38">
        <f t="shared" si="1"/>
        <v>2</v>
      </c>
      <c r="H34" s="4">
        <v>21</v>
      </c>
      <c r="J34">
        <v>2</v>
      </c>
      <c r="K34">
        <v>1</v>
      </c>
      <c r="L34" s="26">
        <f t="shared" si="2"/>
        <v>3</v>
      </c>
      <c r="M34" s="38">
        <f t="shared" si="3"/>
        <v>3</v>
      </c>
      <c r="O34" s="4">
        <v>31</v>
      </c>
      <c r="P34">
        <v>0</v>
      </c>
      <c r="Q34">
        <v>3</v>
      </c>
      <c r="R34">
        <v>1</v>
      </c>
      <c r="S34" s="26">
        <f t="shared" si="4"/>
        <v>4</v>
      </c>
      <c r="T34" s="38">
        <f t="shared" si="5"/>
        <v>4</v>
      </c>
    </row>
    <row r="35" spans="1:20" x14ac:dyDescent="0.25">
      <c r="A35" s="4">
        <v>110</v>
      </c>
      <c r="B35">
        <v>1</v>
      </c>
      <c r="C35">
        <v>1</v>
      </c>
      <c r="D35">
        <v>0</v>
      </c>
      <c r="E35" s="26">
        <f t="shared" si="0"/>
        <v>2</v>
      </c>
      <c r="F35" s="38">
        <f t="shared" si="1"/>
        <v>2</v>
      </c>
      <c r="H35" s="4">
        <v>210</v>
      </c>
      <c r="I35">
        <v>2</v>
      </c>
      <c r="J35">
        <v>1</v>
      </c>
      <c r="K35">
        <v>0</v>
      </c>
      <c r="L35" s="26">
        <f t="shared" si="2"/>
        <v>3</v>
      </c>
      <c r="M35" s="38">
        <f t="shared" si="3"/>
        <v>3</v>
      </c>
      <c r="O35" s="4">
        <v>310</v>
      </c>
      <c r="P35">
        <v>3</v>
      </c>
      <c r="Q35">
        <v>1</v>
      </c>
      <c r="R35">
        <v>0</v>
      </c>
      <c r="S35" s="26">
        <f t="shared" si="4"/>
        <v>4</v>
      </c>
      <c r="T35" s="38">
        <f t="shared" si="5"/>
        <v>4</v>
      </c>
    </row>
    <row r="36" spans="1:20" x14ac:dyDescent="0.25">
      <c r="A36" s="31">
        <v>111</v>
      </c>
      <c r="B36">
        <v>1</v>
      </c>
      <c r="C36">
        <v>1</v>
      </c>
      <c r="D36">
        <v>1</v>
      </c>
      <c r="E36" s="26">
        <f t="shared" si="0"/>
        <v>3</v>
      </c>
      <c r="F36" s="38">
        <f t="shared" si="1"/>
        <v>3</v>
      </c>
      <c r="H36" s="31">
        <v>211</v>
      </c>
      <c r="I36">
        <v>2</v>
      </c>
      <c r="J36">
        <v>1</v>
      </c>
      <c r="K36">
        <v>1</v>
      </c>
      <c r="L36" s="26">
        <f t="shared" si="2"/>
        <v>4</v>
      </c>
      <c r="M36" s="38">
        <f t="shared" si="3"/>
        <v>4</v>
      </c>
      <c r="O36" s="31">
        <v>311</v>
      </c>
      <c r="P36">
        <v>3</v>
      </c>
      <c r="Q36">
        <v>1</v>
      </c>
      <c r="R36">
        <v>1</v>
      </c>
      <c r="S36" s="26">
        <f t="shared" si="4"/>
        <v>5</v>
      </c>
      <c r="T36" s="38">
        <f t="shared" si="5"/>
        <v>5</v>
      </c>
    </row>
    <row r="37" spans="1:20" x14ac:dyDescent="0.25">
      <c r="A37" s="31">
        <v>112</v>
      </c>
      <c r="B37">
        <v>1</v>
      </c>
      <c r="C37">
        <v>1</v>
      </c>
      <c r="D37">
        <v>2</v>
      </c>
      <c r="E37" s="26">
        <f t="shared" si="0"/>
        <v>4</v>
      </c>
      <c r="F37" s="38">
        <f t="shared" si="1"/>
        <v>4</v>
      </c>
      <c r="H37" s="31">
        <v>212</v>
      </c>
      <c r="I37">
        <v>2</v>
      </c>
      <c r="J37">
        <v>1</v>
      </c>
      <c r="K37">
        <v>2</v>
      </c>
      <c r="L37" s="26">
        <f t="shared" si="2"/>
        <v>5</v>
      </c>
      <c r="M37" s="38">
        <f t="shared" si="3"/>
        <v>5</v>
      </c>
      <c r="O37" s="31">
        <v>312</v>
      </c>
      <c r="P37">
        <v>3</v>
      </c>
      <c r="Q37">
        <v>1</v>
      </c>
      <c r="R37">
        <v>2</v>
      </c>
      <c r="S37" s="26">
        <f t="shared" si="4"/>
        <v>6</v>
      </c>
      <c r="T37" s="38">
        <f t="shared" si="5"/>
        <v>6</v>
      </c>
    </row>
    <row r="38" spans="1:20" x14ac:dyDescent="0.25">
      <c r="A38" s="31">
        <v>113</v>
      </c>
      <c r="B38">
        <v>1</v>
      </c>
      <c r="C38">
        <v>1</v>
      </c>
      <c r="D38">
        <v>3</v>
      </c>
      <c r="E38" s="26">
        <f t="shared" si="0"/>
        <v>5</v>
      </c>
      <c r="F38" s="38">
        <f t="shared" si="1"/>
        <v>5</v>
      </c>
      <c r="H38" s="31">
        <v>213</v>
      </c>
      <c r="I38">
        <v>2</v>
      </c>
      <c r="J38">
        <v>1</v>
      </c>
      <c r="K38">
        <v>3</v>
      </c>
      <c r="L38" s="26">
        <f t="shared" si="2"/>
        <v>6</v>
      </c>
      <c r="M38" s="38">
        <f t="shared" si="3"/>
        <v>6</v>
      </c>
      <c r="O38" s="31">
        <v>313</v>
      </c>
      <c r="P38">
        <v>3</v>
      </c>
      <c r="Q38">
        <v>1</v>
      </c>
      <c r="R38">
        <v>3</v>
      </c>
      <c r="S38" s="26">
        <f t="shared" si="4"/>
        <v>7</v>
      </c>
      <c r="T38" s="38">
        <f t="shared" si="5"/>
        <v>7</v>
      </c>
    </row>
    <row r="39" spans="1:20" x14ac:dyDescent="0.25">
      <c r="A39" s="4">
        <v>12</v>
      </c>
      <c r="C39">
        <v>1</v>
      </c>
      <c r="D39">
        <v>2</v>
      </c>
      <c r="E39" s="26">
        <f>B39+C39+D39</f>
        <v>3</v>
      </c>
      <c r="F39" s="38">
        <f t="shared" si="1"/>
        <v>3</v>
      </c>
      <c r="H39" s="4">
        <v>22</v>
      </c>
      <c r="J39">
        <v>2</v>
      </c>
      <c r="K39">
        <v>2</v>
      </c>
      <c r="L39" s="26">
        <f>I39+J39+K39</f>
        <v>4</v>
      </c>
      <c r="M39" s="38">
        <f t="shared" si="3"/>
        <v>4</v>
      </c>
      <c r="O39" s="4">
        <v>32</v>
      </c>
      <c r="Q39">
        <v>3</v>
      </c>
      <c r="R39">
        <v>2</v>
      </c>
      <c r="S39" s="26">
        <f>P39+Q39+R39</f>
        <v>5</v>
      </c>
      <c r="T39" s="38">
        <f t="shared" si="5"/>
        <v>5</v>
      </c>
    </row>
    <row r="40" spans="1:20" x14ac:dyDescent="0.25">
      <c r="A40" s="4">
        <v>120</v>
      </c>
      <c r="B40">
        <v>1</v>
      </c>
      <c r="C40">
        <v>2</v>
      </c>
      <c r="D40">
        <v>0</v>
      </c>
      <c r="E40" s="26">
        <f t="shared" ref="E40:E48" si="6">B40+C40+D40</f>
        <v>3</v>
      </c>
      <c r="F40" s="38">
        <f t="shared" si="1"/>
        <v>3</v>
      </c>
      <c r="H40" s="4">
        <v>220</v>
      </c>
      <c r="I40">
        <v>2</v>
      </c>
      <c r="J40">
        <v>2</v>
      </c>
      <c r="K40">
        <v>0</v>
      </c>
      <c r="L40" s="26">
        <f t="shared" ref="L40:L48" si="7">I40+J40+K40</f>
        <v>4</v>
      </c>
      <c r="M40" s="38">
        <f t="shared" si="3"/>
        <v>4</v>
      </c>
      <c r="O40" s="4">
        <v>320</v>
      </c>
      <c r="P40">
        <v>3</v>
      </c>
      <c r="Q40">
        <v>2</v>
      </c>
      <c r="R40">
        <v>0</v>
      </c>
      <c r="S40" s="26">
        <f t="shared" ref="S40:S48" si="8">P40+Q40+R40</f>
        <v>5</v>
      </c>
      <c r="T40" s="38">
        <f t="shared" si="5"/>
        <v>5</v>
      </c>
    </row>
    <row r="41" spans="1:20" x14ac:dyDescent="0.25">
      <c r="A41" s="31">
        <v>121</v>
      </c>
      <c r="B41">
        <v>1</v>
      </c>
      <c r="C41">
        <v>2</v>
      </c>
      <c r="D41">
        <v>1</v>
      </c>
      <c r="E41" s="26">
        <f t="shared" si="6"/>
        <v>4</v>
      </c>
      <c r="F41" s="38">
        <f t="shared" si="1"/>
        <v>4</v>
      </c>
      <c r="H41" s="31">
        <v>221</v>
      </c>
      <c r="I41">
        <v>2</v>
      </c>
      <c r="J41">
        <v>2</v>
      </c>
      <c r="K41">
        <v>1</v>
      </c>
      <c r="L41" s="26">
        <f t="shared" si="7"/>
        <v>5</v>
      </c>
      <c r="M41" s="38">
        <f t="shared" si="3"/>
        <v>5</v>
      </c>
      <c r="O41" s="31">
        <v>321</v>
      </c>
      <c r="P41">
        <v>3</v>
      </c>
      <c r="Q41">
        <v>2</v>
      </c>
      <c r="R41">
        <v>1</v>
      </c>
      <c r="S41" s="26">
        <f t="shared" si="8"/>
        <v>6</v>
      </c>
      <c r="T41" s="38">
        <f t="shared" si="5"/>
        <v>6</v>
      </c>
    </row>
    <row r="42" spans="1:20" x14ac:dyDescent="0.25">
      <c r="A42" s="31">
        <v>122</v>
      </c>
      <c r="B42">
        <v>1</v>
      </c>
      <c r="C42">
        <v>2</v>
      </c>
      <c r="D42">
        <v>2</v>
      </c>
      <c r="E42" s="26">
        <f t="shared" si="6"/>
        <v>5</v>
      </c>
      <c r="F42" s="38">
        <f t="shared" si="1"/>
        <v>5</v>
      </c>
      <c r="H42" s="31">
        <v>222</v>
      </c>
      <c r="I42">
        <v>2</v>
      </c>
      <c r="J42">
        <v>2</v>
      </c>
      <c r="K42">
        <v>2</v>
      </c>
      <c r="L42" s="26">
        <f t="shared" si="7"/>
        <v>6</v>
      </c>
      <c r="M42" s="38">
        <f t="shared" si="3"/>
        <v>6</v>
      </c>
      <c r="O42" s="31">
        <v>322</v>
      </c>
      <c r="P42">
        <v>3</v>
      </c>
      <c r="Q42">
        <v>2</v>
      </c>
      <c r="R42">
        <v>2</v>
      </c>
      <c r="S42" s="26">
        <f t="shared" si="8"/>
        <v>7</v>
      </c>
      <c r="T42" s="38">
        <f t="shared" si="5"/>
        <v>7</v>
      </c>
    </row>
    <row r="43" spans="1:20" x14ac:dyDescent="0.25">
      <c r="A43" s="31">
        <v>123</v>
      </c>
      <c r="B43">
        <v>1</v>
      </c>
      <c r="C43">
        <v>2</v>
      </c>
      <c r="D43">
        <v>3</v>
      </c>
      <c r="E43" s="26">
        <f t="shared" si="6"/>
        <v>6</v>
      </c>
      <c r="F43" s="38">
        <f t="shared" si="1"/>
        <v>6</v>
      </c>
      <c r="H43" s="31">
        <v>223</v>
      </c>
      <c r="I43">
        <v>2</v>
      </c>
      <c r="J43">
        <v>2</v>
      </c>
      <c r="K43">
        <v>3</v>
      </c>
      <c r="L43" s="26">
        <f t="shared" si="7"/>
        <v>7</v>
      </c>
      <c r="M43" s="38">
        <f t="shared" si="3"/>
        <v>7</v>
      </c>
      <c r="O43" s="31">
        <v>323</v>
      </c>
      <c r="P43">
        <v>3</v>
      </c>
      <c r="Q43">
        <v>2</v>
      </c>
      <c r="R43">
        <v>3</v>
      </c>
      <c r="S43" s="26">
        <f t="shared" si="8"/>
        <v>8</v>
      </c>
      <c r="T43" s="38">
        <f t="shared" si="5"/>
        <v>8</v>
      </c>
    </row>
    <row r="44" spans="1:20" x14ac:dyDescent="0.25">
      <c r="A44" s="4">
        <v>13</v>
      </c>
      <c r="C44">
        <v>1</v>
      </c>
      <c r="D44">
        <v>3</v>
      </c>
      <c r="E44" s="26">
        <f t="shared" si="6"/>
        <v>4</v>
      </c>
      <c r="F44" s="38">
        <f t="shared" si="1"/>
        <v>4</v>
      </c>
      <c r="H44" s="4">
        <v>23</v>
      </c>
      <c r="J44">
        <v>2</v>
      </c>
      <c r="K44">
        <v>3</v>
      </c>
      <c r="L44" s="26">
        <f t="shared" si="7"/>
        <v>5</v>
      </c>
      <c r="M44" s="38">
        <f t="shared" si="3"/>
        <v>5</v>
      </c>
      <c r="O44" s="4">
        <v>33</v>
      </c>
      <c r="Q44">
        <v>3</v>
      </c>
      <c r="R44">
        <v>3</v>
      </c>
      <c r="S44" s="26">
        <f t="shared" si="8"/>
        <v>6</v>
      </c>
      <c r="T44" s="38">
        <f t="shared" si="5"/>
        <v>6</v>
      </c>
    </row>
    <row r="45" spans="1:20" x14ac:dyDescent="0.25">
      <c r="A45" s="4">
        <v>130</v>
      </c>
      <c r="B45">
        <v>1</v>
      </c>
      <c r="C45">
        <v>3</v>
      </c>
      <c r="D45">
        <v>0</v>
      </c>
      <c r="E45" s="26">
        <f t="shared" si="6"/>
        <v>4</v>
      </c>
      <c r="F45" s="38">
        <f t="shared" si="1"/>
        <v>4</v>
      </c>
      <c r="H45" s="4">
        <v>230</v>
      </c>
      <c r="I45">
        <v>2</v>
      </c>
      <c r="J45">
        <v>3</v>
      </c>
      <c r="K45">
        <v>0</v>
      </c>
      <c r="L45" s="26">
        <f t="shared" si="7"/>
        <v>5</v>
      </c>
      <c r="M45" s="38">
        <f t="shared" si="3"/>
        <v>5</v>
      </c>
      <c r="O45" s="4">
        <v>330</v>
      </c>
      <c r="P45">
        <v>3</v>
      </c>
      <c r="Q45">
        <v>3</v>
      </c>
      <c r="R45">
        <v>0</v>
      </c>
      <c r="S45" s="26">
        <f t="shared" si="8"/>
        <v>6</v>
      </c>
      <c r="T45" s="38">
        <f t="shared" si="5"/>
        <v>6</v>
      </c>
    </row>
    <row r="46" spans="1:20" x14ac:dyDescent="0.25">
      <c r="A46" s="31">
        <v>131</v>
      </c>
      <c r="B46">
        <v>1</v>
      </c>
      <c r="C46">
        <v>3</v>
      </c>
      <c r="D46">
        <v>1</v>
      </c>
      <c r="E46" s="26">
        <f t="shared" si="6"/>
        <v>5</v>
      </c>
      <c r="F46" s="38">
        <f t="shared" si="1"/>
        <v>5</v>
      </c>
      <c r="H46" s="31">
        <v>231</v>
      </c>
      <c r="I46">
        <v>2</v>
      </c>
      <c r="J46">
        <v>3</v>
      </c>
      <c r="K46">
        <v>1</v>
      </c>
      <c r="L46" s="26">
        <f t="shared" si="7"/>
        <v>6</v>
      </c>
      <c r="M46" s="38">
        <f t="shared" si="3"/>
        <v>6</v>
      </c>
      <c r="O46" s="31">
        <v>331</v>
      </c>
      <c r="P46">
        <v>3</v>
      </c>
      <c r="Q46">
        <v>3</v>
      </c>
      <c r="R46">
        <v>1</v>
      </c>
      <c r="S46" s="26">
        <f t="shared" si="8"/>
        <v>7</v>
      </c>
      <c r="T46" s="38">
        <f t="shared" si="5"/>
        <v>7</v>
      </c>
    </row>
    <row r="47" spans="1:20" x14ac:dyDescent="0.25">
      <c r="A47" s="31">
        <v>132</v>
      </c>
      <c r="B47">
        <v>1</v>
      </c>
      <c r="C47">
        <v>3</v>
      </c>
      <c r="D47">
        <v>2</v>
      </c>
      <c r="E47" s="26">
        <f t="shared" si="6"/>
        <v>6</v>
      </c>
      <c r="F47" s="38">
        <f t="shared" si="1"/>
        <v>6</v>
      </c>
      <c r="H47" s="31">
        <v>232</v>
      </c>
      <c r="I47">
        <v>2</v>
      </c>
      <c r="J47">
        <v>3</v>
      </c>
      <c r="K47">
        <v>2</v>
      </c>
      <c r="L47" s="26">
        <f t="shared" si="7"/>
        <v>7</v>
      </c>
      <c r="M47" s="38">
        <f t="shared" si="3"/>
        <v>7</v>
      </c>
      <c r="O47" s="31">
        <v>332</v>
      </c>
      <c r="P47">
        <v>3</v>
      </c>
      <c r="Q47">
        <v>3</v>
      </c>
      <c r="R47">
        <v>2</v>
      </c>
      <c r="S47" s="26">
        <f t="shared" si="8"/>
        <v>8</v>
      </c>
      <c r="T47" s="38">
        <f t="shared" si="5"/>
        <v>8</v>
      </c>
    </row>
    <row r="48" spans="1:20" x14ac:dyDescent="0.25">
      <c r="A48" s="31">
        <v>133</v>
      </c>
      <c r="B48">
        <v>1</v>
      </c>
      <c r="C48">
        <v>3</v>
      </c>
      <c r="D48">
        <v>3</v>
      </c>
      <c r="E48" s="26">
        <f t="shared" si="6"/>
        <v>7</v>
      </c>
      <c r="F48" s="38">
        <f t="shared" si="1"/>
        <v>7</v>
      </c>
      <c r="H48" s="31">
        <v>233</v>
      </c>
      <c r="I48">
        <v>2</v>
      </c>
      <c r="J48">
        <v>3</v>
      </c>
      <c r="K48">
        <v>3</v>
      </c>
      <c r="L48" s="26">
        <f t="shared" si="7"/>
        <v>8</v>
      </c>
      <c r="M48" s="38">
        <f t="shared" si="3"/>
        <v>8</v>
      </c>
      <c r="O48" s="31">
        <v>333</v>
      </c>
      <c r="P48">
        <v>3</v>
      </c>
      <c r="Q48">
        <v>3</v>
      </c>
      <c r="R48">
        <v>3</v>
      </c>
      <c r="S48" s="26">
        <f t="shared" si="8"/>
        <v>9</v>
      </c>
      <c r="T48" s="38">
        <f t="shared" si="5"/>
        <v>9</v>
      </c>
    </row>
    <row r="49" spans="1:20" x14ac:dyDescent="0.25">
      <c r="A49" s="31">
        <v>0</v>
      </c>
      <c r="D49">
        <v>0</v>
      </c>
      <c r="E49" s="26">
        <v>0</v>
      </c>
      <c r="F49" s="38">
        <f t="shared" si="1"/>
        <v>0</v>
      </c>
    </row>
    <row r="50" spans="1:20" x14ac:dyDescent="0.25">
      <c r="A50" s="1"/>
      <c r="E50" s="25"/>
      <c r="K50" t="s">
        <v>52</v>
      </c>
      <c r="L50" s="28">
        <v>1</v>
      </c>
    </row>
    <row r="51" spans="1:20" x14ac:dyDescent="0.25">
      <c r="A51" s="1"/>
      <c r="E51" s="25"/>
      <c r="K51" t="s">
        <v>54</v>
      </c>
      <c r="L51" s="1" t="s">
        <v>7</v>
      </c>
      <c r="M51" t="s">
        <v>55</v>
      </c>
    </row>
    <row r="52" spans="1:20" x14ac:dyDescent="0.25">
      <c r="A52" s="1"/>
      <c r="E52" s="25"/>
      <c r="K52" t="s">
        <v>56</v>
      </c>
      <c r="L52" s="1" t="s">
        <v>7</v>
      </c>
      <c r="M52" t="s">
        <v>57</v>
      </c>
    </row>
    <row r="53" spans="1:20" x14ac:dyDescent="0.25">
      <c r="B53" s="8"/>
      <c r="C53" s="11">
        <v>2</v>
      </c>
      <c r="D53" s="11">
        <v>3</v>
      </c>
      <c r="E53" s="11">
        <v>0</v>
      </c>
      <c r="G53" s="16" t="s">
        <v>29</v>
      </c>
      <c r="K53" s="8" t="s">
        <v>53</v>
      </c>
      <c r="L53" s="11" t="s">
        <v>58</v>
      </c>
      <c r="N53" s="8" t="s">
        <v>53</v>
      </c>
      <c r="O53" s="11" t="s">
        <v>58</v>
      </c>
      <c r="Q53" s="8" t="s">
        <v>53</v>
      </c>
      <c r="R53" s="11" t="s">
        <v>58</v>
      </c>
      <c r="T53" s="50" t="s">
        <v>56</v>
      </c>
    </row>
    <row r="54" spans="1:20" x14ac:dyDescent="0.25">
      <c r="B54" s="10">
        <v>1</v>
      </c>
      <c r="C54" s="15">
        <v>20</v>
      </c>
      <c r="D54" s="14">
        <v>11</v>
      </c>
      <c r="E54" s="14">
        <v>10</v>
      </c>
      <c r="G54" s="44" t="e">
        <f>VLOOKUP(B54,$B$81:$B$96,1,0)</f>
        <v>#N/A</v>
      </c>
      <c r="K54" s="46">
        <v>40</v>
      </c>
      <c r="L54" s="40" t="str">
        <f t="shared" ref="L54:L72" si="9">IFERROR(IF(VLOOKUP($K54,$B$54:$E$73,L$50,0)=K54,"AV","NF"),"NF")</f>
        <v>NF</v>
      </c>
      <c r="N54" s="48">
        <v>31</v>
      </c>
      <c r="O54" s="40" t="str">
        <f t="shared" ref="O54:O72" si="10">IFERROR(IF(VLOOKUP($N54,$B$54:$E$73,L$50,0)=N54,"AV","NF"),"NF")</f>
        <v>NF</v>
      </c>
      <c r="Q54" s="48">
        <v>0</v>
      </c>
      <c r="R54" s="45" t="str">
        <f t="shared" ref="R54:R72" si="11">IFERROR(IF(VLOOKUP($Q54,$B$54:$E$73,L$50,0)=Q54,"AV","NF"),"NF")</f>
        <v>AV</v>
      </c>
      <c r="T54" s="51">
        <v>40</v>
      </c>
    </row>
    <row r="55" spans="1:20" x14ac:dyDescent="0.25">
      <c r="B55" s="9">
        <v>10</v>
      </c>
      <c r="C55" s="15">
        <v>110</v>
      </c>
      <c r="D55" s="14">
        <v>101</v>
      </c>
      <c r="E55" s="14">
        <v>100</v>
      </c>
      <c r="G55" s="44">
        <f t="shared" ref="G55:G73" si="12">VLOOKUP(B55,$B$81:$B$96,1,0)</f>
        <v>10</v>
      </c>
      <c r="H55" s="19"/>
      <c r="K55" s="47">
        <v>130</v>
      </c>
      <c r="L55" s="40" t="str">
        <f t="shared" si="9"/>
        <v>NF</v>
      </c>
      <c r="N55" s="49">
        <v>121</v>
      </c>
      <c r="O55" s="40" t="str">
        <f t="shared" si="10"/>
        <v>NF</v>
      </c>
      <c r="Q55" s="49">
        <v>0</v>
      </c>
      <c r="R55" s="45" t="str">
        <f t="shared" si="11"/>
        <v>AV</v>
      </c>
      <c r="T55" s="51">
        <v>121</v>
      </c>
    </row>
    <row r="56" spans="1:20" x14ac:dyDescent="0.25">
      <c r="B56" s="10">
        <v>100</v>
      </c>
      <c r="C56" s="15">
        <v>10</v>
      </c>
      <c r="D56" s="14">
        <v>1</v>
      </c>
      <c r="E56" s="14">
        <v>0</v>
      </c>
      <c r="G56" s="44">
        <f t="shared" si="12"/>
        <v>100</v>
      </c>
      <c r="H56" s="19"/>
      <c r="K56" s="47">
        <v>220</v>
      </c>
      <c r="L56" s="40" t="str">
        <f t="shared" si="9"/>
        <v>NF</v>
      </c>
      <c r="N56" s="49">
        <v>211</v>
      </c>
      <c r="O56" s="40" t="str">
        <f t="shared" si="10"/>
        <v>NF</v>
      </c>
      <c r="Q56" s="49">
        <v>0</v>
      </c>
      <c r="R56" s="45" t="str">
        <f t="shared" si="11"/>
        <v>AV</v>
      </c>
      <c r="T56" s="51">
        <v>130</v>
      </c>
    </row>
    <row r="57" spans="1:20" x14ac:dyDescent="0.25">
      <c r="B57" s="10">
        <v>101</v>
      </c>
      <c r="C57" s="15">
        <v>20</v>
      </c>
      <c r="D57" s="14">
        <v>11</v>
      </c>
      <c r="E57" s="14">
        <v>10</v>
      </c>
      <c r="G57" s="44">
        <f t="shared" si="12"/>
        <v>101</v>
      </c>
      <c r="H57" s="19"/>
      <c r="K57" s="47">
        <v>310</v>
      </c>
      <c r="L57" s="40" t="str">
        <f t="shared" si="9"/>
        <v>NF</v>
      </c>
      <c r="N57" s="49">
        <v>301</v>
      </c>
      <c r="O57" s="40" t="str">
        <f t="shared" si="10"/>
        <v>NF</v>
      </c>
      <c r="Q57" s="49">
        <v>10</v>
      </c>
      <c r="R57" s="45" t="str">
        <f t="shared" si="11"/>
        <v>AV</v>
      </c>
      <c r="T57" s="51">
        <v>211</v>
      </c>
    </row>
    <row r="58" spans="1:20" x14ac:dyDescent="0.25">
      <c r="B58" s="10">
        <v>102</v>
      </c>
      <c r="C58" s="15">
        <v>30</v>
      </c>
      <c r="D58" s="14">
        <v>21</v>
      </c>
      <c r="E58" s="14">
        <v>20</v>
      </c>
      <c r="G58" s="44">
        <f t="shared" si="12"/>
        <v>102</v>
      </c>
      <c r="H58" s="19"/>
      <c r="K58" s="47">
        <v>10</v>
      </c>
      <c r="L58" s="45" t="str">
        <f t="shared" si="9"/>
        <v>AV</v>
      </c>
      <c r="N58" s="49">
        <v>1</v>
      </c>
      <c r="O58" s="45" t="str">
        <f t="shared" si="10"/>
        <v>AV</v>
      </c>
      <c r="Q58" s="49">
        <v>10</v>
      </c>
      <c r="R58" s="45" t="str">
        <f t="shared" si="11"/>
        <v>AV</v>
      </c>
      <c r="T58" s="51">
        <v>220</v>
      </c>
    </row>
    <row r="59" spans="1:20" x14ac:dyDescent="0.25">
      <c r="B59" s="10">
        <v>11</v>
      </c>
      <c r="C59" s="15">
        <v>120</v>
      </c>
      <c r="D59" s="14">
        <v>111</v>
      </c>
      <c r="E59" s="14">
        <v>110</v>
      </c>
      <c r="G59" s="44">
        <f t="shared" si="12"/>
        <v>11</v>
      </c>
      <c r="H59" s="19"/>
      <c r="K59" s="47">
        <v>10</v>
      </c>
      <c r="L59" s="45" t="str">
        <f t="shared" si="9"/>
        <v>AV</v>
      </c>
      <c r="N59" s="49">
        <v>1</v>
      </c>
      <c r="O59" s="45" t="str">
        <f t="shared" si="10"/>
        <v>AV</v>
      </c>
      <c r="Q59" s="49">
        <v>10</v>
      </c>
      <c r="R59" s="45" t="str">
        <f t="shared" si="11"/>
        <v>AV</v>
      </c>
      <c r="T59" s="51">
        <v>301</v>
      </c>
    </row>
    <row r="60" spans="1:20" x14ac:dyDescent="0.25">
      <c r="B60" s="10">
        <v>110</v>
      </c>
      <c r="C60" s="15">
        <v>110</v>
      </c>
      <c r="D60" s="14">
        <v>101</v>
      </c>
      <c r="E60" s="14">
        <v>100</v>
      </c>
      <c r="G60" s="44">
        <f t="shared" si="12"/>
        <v>110</v>
      </c>
      <c r="H60" s="19"/>
      <c r="K60" s="47">
        <v>10</v>
      </c>
      <c r="L60" s="45" t="str">
        <f t="shared" si="9"/>
        <v>AV</v>
      </c>
      <c r="N60" s="49">
        <v>1</v>
      </c>
      <c r="O60" s="45" t="str">
        <f t="shared" si="10"/>
        <v>AV</v>
      </c>
      <c r="Q60" s="49">
        <v>20</v>
      </c>
      <c r="R60" s="45" t="str">
        <f t="shared" si="11"/>
        <v>AV</v>
      </c>
      <c r="T60" s="51">
        <v>310</v>
      </c>
    </row>
    <row r="61" spans="1:20" x14ac:dyDescent="0.25">
      <c r="B61" s="10">
        <v>111</v>
      </c>
      <c r="C61" s="15">
        <v>120</v>
      </c>
      <c r="D61" s="14">
        <v>111</v>
      </c>
      <c r="E61" s="14">
        <v>110</v>
      </c>
      <c r="G61" s="44">
        <f t="shared" si="12"/>
        <v>111</v>
      </c>
      <c r="H61" s="19"/>
      <c r="K61" s="47">
        <v>20</v>
      </c>
      <c r="L61" s="45" t="str">
        <f t="shared" si="9"/>
        <v>AV</v>
      </c>
      <c r="N61" s="49">
        <v>11</v>
      </c>
      <c r="O61" s="45" t="str">
        <f t="shared" si="10"/>
        <v>AV</v>
      </c>
      <c r="Q61" s="49">
        <v>20</v>
      </c>
      <c r="R61" s="45" t="str">
        <f t="shared" si="11"/>
        <v>AV</v>
      </c>
    </row>
    <row r="62" spans="1:20" x14ac:dyDescent="0.25">
      <c r="B62" s="9">
        <v>12</v>
      </c>
      <c r="C62" s="15">
        <v>130</v>
      </c>
      <c r="D62" s="14">
        <v>121</v>
      </c>
      <c r="E62" s="14">
        <v>120</v>
      </c>
      <c r="G62" s="44">
        <f t="shared" si="12"/>
        <v>12</v>
      </c>
      <c r="H62" s="19"/>
      <c r="K62" s="47">
        <v>20</v>
      </c>
      <c r="L62" s="45" t="str">
        <f t="shared" si="9"/>
        <v>AV</v>
      </c>
      <c r="N62" s="49">
        <v>11</v>
      </c>
      <c r="O62" s="45" t="str">
        <f t="shared" si="10"/>
        <v>AV</v>
      </c>
      <c r="Q62" s="49">
        <v>30</v>
      </c>
      <c r="R62" s="45" t="str">
        <f t="shared" si="11"/>
        <v>AV</v>
      </c>
    </row>
    <row r="63" spans="1:20" x14ac:dyDescent="0.25">
      <c r="B63" s="10">
        <v>120</v>
      </c>
      <c r="C63" s="15">
        <v>210</v>
      </c>
      <c r="D63" s="14">
        <v>201</v>
      </c>
      <c r="E63" s="14">
        <v>200</v>
      </c>
      <c r="G63" s="44">
        <f t="shared" si="12"/>
        <v>120</v>
      </c>
      <c r="K63" s="47">
        <v>20</v>
      </c>
      <c r="L63" s="45" t="str">
        <f t="shared" si="9"/>
        <v>AV</v>
      </c>
      <c r="N63" s="49">
        <v>11</v>
      </c>
      <c r="O63" s="45" t="str">
        <f t="shared" si="10"/>
        <v>AV</v>
      </c>
      <c r="Q63" s="49">
        <v>100</v>
      </c>
      <c r="R63" s="45" t="str">
        <f t="shared" si="11"/>
        <v>AV</v>
      </c>
    </row>
    <row r="64" spans="1:20" x14ac:dyDescent="0.25">
      <c r="B64" s="10">
        <v>2</v>
      </c>
      <c r="C64" s="15">
        <v>30</v>
      </c>
      <c r="D64" s="14">
        <v>21</v>
      </c>
      <c r="E64" s="14">
        <v>20</v>
      </c>
      <c r="G64" s="44" t="e">
        <f t="shared" si="12"/>
        <v>#N/A</v>
      </c>
      <c r="K64" s="47">
        <v>30</v>
      </c>
      <c r="L64" s="45" t="str">
        <f t="shared" si="9"/>
        <v>AV</v>
      </c>
      <c r="N64" s="49">
        <v>21</v>
      </c>
      <c r="O64" s="45" t="str">
        <f t="shared" si="10"/>
        <v>AV</v>
      </c>
      <c r="Q64" s="49">
        <v>100</v>
      </c>
      <c r="R64" s="45" t="str">
        <f t="shared" si="11"/>
        <v>AV</v>
      </c>
    </row>
    <row r="65" spans="2:18" x14ac:dyDescent="0.25">
      <c r="B65" s="9">
        <v>20</v>
      </c>
      <c r="C65" s="15">
        <v>210</v>
      </c>
      <c r="D65" s="14">
        <v>201</v>
      </c>
      <c r="E65" s="14">
        <v>200</v>
      </c>
      <c r="G65" s="44">
        <f t="shared" si="12"/>
        <v>20</v>
      </c>
      <c r="K65" s="47">
        <v>30</v>
      </c>
      <c r="L65" s="45" t="str">
        <f t="shared" si="9"/>
        <v>AV</v>
      </c>
      <c r="N65" s="49">
        <v>21</v>
      </c>
      <c r="O65" s="45" t="str">
        <f t="shared" si="10"/>
        <v>AV</v>
      </c>
      <c r="Q65" s="49">
        <v>100</v>
      </c>
      <c r="R65" s="45" t="str">
        <f t="shared" si="11"/>
        <v>AV</v>
      </c>
    </row>
    <row r="66" spans="2:18" x14ac:dyDescent="0.25">
      <c r="B66" s="10">
        <v>200</v>
      </c>
      <c r="C66" s="15">
        <v>10</v>
      </c>
      <c r="D66" s="14">
        <v>1</v>
      </c>
      <c r="E66" s="14">
        <v>0</v>
      </c>
      <c r="G66" s="44">
        <f t="shared" si="12"/>
        <v>200</v>
      </c>
      <c r="K66" s="47">
        <v>110</v>
      </c>
      <c r="L66" s="45" t="str">
        <f t="shared" si="9"/>
        <v>AV</v>
      </c>
      <c r="N66" s="49">
        <v>101</v>
      </c>
      <c r="O66" s="45" t="str">
        <f t="shared" si="10"/>
        <v>AV</v>
      </c>
      <c r="Q66" s="49">
        <v>110</v>
      </c>
      <c r="R66" s="45" t="str">
        <f t="shared" si="11"/>
        <v>AV</v>
      </c>
    </row>
    <row r="67" spans="2:18" x14ac:dyDescent="0.25">
      <c r="B67" s="10">
        <v>201</v>
      </c>
      <c r="C67" s="15">
        <v>20</v>
      </c>
      <c r="D67" s="14">
        <v>11</v>
      </c>
      <c r="E67" s="14">
        <v>10</v>
      </c>
      <c r="G67" s="44">
        <f t="shared" si="12"/>
        <v>201</v>
      </c>
      <c r="K67" s="47">
        <v>110</v>
      </c>
      <c r="L67" s="45" t="str">
        <f t="shared" si="9"/>
        <v>AV</v>
      </c>
      <c r="N67" s="49">
        <v>101</v>
      </c>
      <c r="O67" s="45" t="str">
        <f t="shared" si="10"/>
        <v>AV</v>
      </c>
      <c r="Q67" s="49">
        <v>110</v>
      </c>
      <c r="R67" s="45" t="str">
        <f t="shared" si="11"/>
        <v>AV</v>
      </c>
    </row>
    <row r="68" spans="2:18" x14ac:dyDescent="0.25">
      <c r="B68" s="9">
        <v>21</v>
      </c>
      <c r="C68" s="15">
        <v>220</v>
      </c>
      <c r="D68" s="14">
        <v>211</v>
      </c>
      <c r="E68" s="14">
        <v>210</v>
      </c>
      <c r="G68" s="44">
        <f t="shared" si="12"/>
        <v>21</v>
      </c>
      <c r="K68" s="47">
        <v>110</v>
      </c>
      <c r="L68" s="45" t="str">
        <f t="shared" si="9"/>
        <v>AV</v>
      </c>
      <c r="N68" s="49">
        <v>101</v>
      </c>
      <c r="O68" s="45" t="str">
        <f t="shared" si="10"/>
        <v>AV</v>
      </c>
      <c r="Q68" s="49">
        <v>120</v>
      </c>
      <c r="R68" s="45" t="str">
        <f t="shared" si="11"/>
        <v>AV</v>
      </c>
    </row>
    <row r="69" spans="2:18" x14ac:dyDescent="0.25">
      <c r="B69" s="10">
        <v>210</v>
      </c>
      <c r="C69" s="15">
        <v>110</v>
      </c>
      <c r="D69" s="14">
        <v>101</v>
      </c>
      <c r="E69" s="14">
        <v>100</v>
      </c>
      <c r="G69" s="44">
        <f t="shared" si="12"/>
        <v>210</v>
      </c>
      <c r="K69" s="47">
        <v>120</v>
      </c>
      <c r="L69" s="45" t="str">
        <f t="shared" si="9"/>
        <v>AV</v>
      </c>
      <c r="N69" s="49">
        <v>111</v>
      </c>
      <c r="O69" s="45" t="str">
        <f t="shared" si="10"/>
        <v>AV</v>
      </c>
      <c r="Q69" s="49">
        <v>200</v>
      </c>
      <c r="R69" s="45" t="str">
        <f t="shared" si="11"/>
        <v>AV</v>
      </c>
    </row>
    <row r="70" spans="2:18" x14ac:dyDescent="0.25">
      <c r="B70" s="10">
        <v>3</v>
      </c>
      <c r="C70" s="15">
        <v>40</v>
      </c>
      <c r="D70" s="14">
        <v>31</v>
      </c>
      <c r="E70" s="14">
        <v>30</v>
      </c>
      <c r="G70" s="44" t="e">
        <f t="shared" si="12"/>
        <v>#N/A</v>
      </c>
      <c r="K70" s="47">
        <v>120</v>
      </c>
      <c r="L70" s="45" t="str">
        <f t="shared" si="9"/>
        <v>AV</v>
      </c>
      <c r="N70" s="49">
        <v>111</v>
      </c>
      <c r="O70" s="45" t="str">
        <f t="shared" si="10"/>
        <v>AV</v>
      </c>
      <c r="Q70" s="49">
        <v>200</v>
      </c>
      <c r="R70" s="45" t="str">
        <f t="shared" si="11"/>
        <v>AV</v>
      </c>
    </row>
    <row r="71" spans="2:18" x14ac:dyDescent="0.25">
      <c r="B71" s="9">
        <v>30</v>
      </c>
      <c r="C71" s="15">
        <v>310</v>
      </c>
      <c r="D71" s="14">
        <v>301</v>
      </c>
      <c r="E71" s="14">
        <v>300</v>
      </c>
      <c r="G71" s="44">
        <f t="shared" si="12"/>
        <v>30</v>
      </c>
      <c r="K71" s="47">
        <v>210</v>
      </c>
      <c r="L71" s="45" t="str">
        <f t="shared" si="9"/>
        <v>AV</v>
      </c>
      <c r="N71" s="49">
        <v>201</v>
      </c>
      <c r="O71" s="45" t="str">
        <f t="shared" si="10"/>
        <v>AV</v>
      </c>
      <c r="Q71" s="49">
        <v>210</v>
      </c>
      <c r="R71" s="45" t="str">
        <f t="shared" si="11"/>
        <v>AV</v>
      </c>
    </row>
    <row r="72" spans="2:18" x14ac:dyDescent="0.25">
      <c r="B72" s="9">
        <v>0</v>
      </c>
      <c r="C72" s="15">
        <v>10</v>
      </c>
      <c r="D72" s="14">
        <v>1</v>
      </c>
      <c r="E72" s="14">
        <v>0</v>
      </c>
      <c r="G72" s="44" t="e">
        <f t="shared" si="12"/>
        <v>#N/A</v>
      </c>
      <c r="K72" s="47">
        <v>210</v>
      </c>
      <c r="L72" s="45" t="str">
        <f t="shared" si="9"/>
        <v>AV</v>
      </c>
      <c r="N72" s="49">
        <v>201</v>
      </c>
      <c r="O72" s="45" t="str">
        <f t="shared" si="10"/>
        <v>AV</v>
      </c>
      <c r="Q72" s="49">
        <v>300</v>
      </c>
      <c r="R72" s="45" t="str">
        <f t="shared" si="11"/>
        <v>AV</v>
      </c>
    </row>
    <row r="73" spans="2:18" x14ac:dyDescent="0.25">
      <c r="B73" s="10">
        <v>300</v>
      </c>
      <c r="C73" s="15">
        <v>10</v>
      </c>
      <c r="D73" s="14">
        <v>1</v>
      </c>
      <c r="E73" s="14">
        <v>0</v>
      </c>
      <c r="G73" s="44">
        <f t="shared" si="12"/>
        <v>300</v>
      </c>
    </row>
    <row r="74" spans="2:18" x14ac:dyDescent="0.25">
      <c r="I74" s="192" t="s">
        <v>1</v>
      </c>
      <c r="J74" s="192"/>
      <c r="M74" s="192">
        <v>737</v>
      </c>
      <c r="N74" s="192"/>
      <c r="Q74" s="192" t="s">
        <v>63</v>
      </c>
      <c r="R74" s="192"/>
    </row>
    <row r="75" spans="2:18" x14ac:dyDescent="0.25">
      <c r="C75" s="58" t="s">
        <v>1</v>
      </c>
      <c r="D75" s="58">
        <v>737</v>
      </c>
      <c r="E75" s="58" t="s">
        <v>61</v>
      </c>
      <c r="I75" t="s">
        <v>29</v>
      </c>
      <c r="J75" s="62">
        <v>3.78E-2</v>
      </c>
      <c r="M75" t="s">
        <v>29</v>
      </c>
      <c r="N75" s="64">
        <v>0.31929999999999997</v>
      </c>
      <c r="Q75" t="s">
        <v>29</v>
      </c>
      <c r="R75" s="65">
        <v>0.64290000000000003</v>
      </c>
    </row>
    <row r="76" spans="2:18" ht="24.75" x14ac:dyDescent="0.25">
      <c r="B76" s="8"/>
      <c r="C76" s="11">
        <v>2</v>
      </c>
      <c r="D76" s="11">
        <v>3</v>
      </c>
      <c r="E76" s="11">
        <v>0</v>
      </c>
      <c r="H76" s="59" t="s">
        <v>62</v>
      </c>
      <c r="I76" s="11">
        <v>2</v>
      </c>
      <c r="J76" s="60" t="s">
        <v>64</v>
      </c>
      <c r="L76" s="59" t="s">
        <v>62</v>
      </c>
      <c r="M76" s="11">
        <v>3</v>
      </c>
      <c r="N76" s="60" t="s">
        <v>65</v>
      </c>
      <c r="P76" s="59" t="s">
        <v>62</v>
      </c>
      <c r="Q76" s="11">
        <v>0</v>
      </c>
      <c r="R76" s="16" t="s">
        <v>66</v>
      </c>
    </row>
    <row r="77" spans="2:18" x14ac:dyDescent="0.25">
      <c r="B77" s="9">
        <v>0</v>
      </c>
      <c r="C77" s="14">
        <v>10</v>
      </c>
      <c r="D77" s="14">
        <v>1</v>
      </c>
      <c r="E77" s="14">
        <v>0</v>
      </c>
      <c r="H77" s="9">
        <v>0</v>
      </c>
      <c r="I77" s="15">
        <v>10</v>
      </c>
      <c r="J77" s="62">
        <f>$J$75</f>
        <v>3.78E-2</v>
      </c>
      <c r="L77" s="9">
        <v>0</v>
      </c>
      <c r="M77" s="14">
        <v>1</v>
      </c>
      <c r="N77" s="64">
        <f>$N$75</f>
        <v>0.31929999999999997</v>
      </c>
      <c r="P77" s="9">
        <v>0</v>
      </c>
      <c r="Q77" s="15">
        <v>0</v>
      </c>
      <c r="R77" s="65">
        <f>$R$75</f>
        <v>0.64290000000000003</v>
      </c>
    </row>
    <row r="78" spans="2:18" x14ac:dyDescent="0.25">
      <c r="B78" s="10">
        <v>1</v>
      </c>
      <c r="C78" s="14">
        <v>20</v>
      </c>
      <c r="D78" s="14">
        <v>11</v>
      </c>
      <c r="E78" s="14">
        <v>10</v>
      </c>
      <c r="H78" s="10">
        <v>1</v>
      </c>
      <c r="I78" s="15">
        <v>20</v>
      </c>
      <c r="J78" s="62">
        <f t="shared" ref="J78:J84" si="13">$J$75</f>
        <v>3.78E-2</v>
      </c>
      <c r="L78" s="10">
        <v>1</v>
      </c>
      <c r="M78" s="14">
        <v>11</v>
      </c>
      <c r="N78" s="64">
        <f t="shared" ref="N78:N79" si="14">$N$75</f>
        <v>0.31929999999999997</v>
      </c>
      <c r="P78" s="10">
        <v>1</v>
      </c>
      <c r="Q78" s="15">
        <v>10</v>
      </c>
      <c r="R78" s="65">
        <f t="shared" ref="R78:R79" si="15">$R$75</f>
        <v>0.64290000000000003</v>
      </c>
    </row>
    <row r="79" spans="2:18" x14ac:dyDescent="0.25">
      <c r="B79" s="10">
        <v>2</v>
      </c>
      <c r="C79" s="14">
        <v>30</v>
      </c>
      <c r="D79" s="14">
        <v>21</v>
      </c>
      <c r="E79" s="14">
        <v>20</v>
      </c>
      <c r="H79" s="10">
        <v>2</v>
      </c>
      <c r="I79" s="15">
        <v>30</v>
      </c>
      <c r="J79" s="62">
        <f t="shared" si="13"/>
        <v>3.78E-2</v>
      </c>
      <c r="L79" s="10">
        <v>2</v>
      </c>
      <c r="M79" s="14">
        <v>11</v>
      </c>
      <c r="N79" s="64">
        <f t="shared" si="14"/>
        <v>0.31929999999999997</v>
      </c>
      <c r="P79" s="10">
        <v>2</v>
      </c>
      <c r="Q79" s="15">
        <v>20</v>
      </c>
      <c r="R79" s="65">
        <f t="shared" si="15"/>
        <v>0.64290000000000003</v>
      </c>
    </row>
    <row r="80" spans="2:18" x14ac:dyDescent="0.25">
      <c r="B80" s="10">
        <v>3</v>
      </c>
      <c r="C80" s="41">
        <v>40</v>
      </c>
      <c r="D80" s="41">
        <v>31</v>
      </c>
      <c r="E80">
        <v>30</v>
      </c>
      <c r="H80" s="10">
        <v>3</v>
      </c>
      <c r="I80" s="41">
        <v>30</v>
      </c>
      <c r="J80" s="63">
        <v>0</v>
      </c>
      <c r="L80" s="10">
        <v>3</v>
      </c>
      <c r="M80" s="41">
        <v>30</v>
      </c>
      <c r="N80" s="63">
        <v>0</v>
      </c>
      <c r="P80" s="10">
        <v>3</v>
      </c>
      <c r="Q80" s="15">
        <v>30</v>
      </c>
      <c r="R80" s="63">
        <v>1</v>
      </c>
    </row>
    <row r="81" spans="2:18" x14ac:dyDescent="0.25">
      <c r="B81" s="9">
        <v>10</v>
      </c>
      <c r="C81" s="14">
        <v>110</v>
      </c>
      <c r="D81" s="14">
        <v>101</v>
      </c>
      <c r="E81" s="14">
        <v>100</v>
      </c>
      <c r="H81" s="9">
        <v>10</v>
      </c>
      <c r="I81" s="15">
        <v>110</v>
      </c>
      <c r="J81" s="62">
        <f t="shared" si="13"/>
        <v>3.78E-2</v>
      </c>
      <c r="L81" s="9">
        <v>10</v>
      </c>
      <c r="M81" s="14">
        <v>101</v>
      </c>
      <c r="N81" s="64">
        <f>$N$75</f>
        <v>0.31929999999999997</v>
      </c>
      <c r="P81" s="9">
        <v>10</v>
      </c>
      <c r="Q81" s="15">
        <v>100</v>
      </c>
      <c r="R81" s="65">
        <f>$R$75</f>
        <v>0.64290000000000003</v>
      </c>
    </row>
    <row r="82" spans="2:18" x14ac:dyDescent="0.25">
      <c r="B82" s="10">
        <v>11</v>
      </c>
      <c r="C82" s="15">
        <v>120</v>
      </c>
      <c r="D82" s="14">
        <v>111</v>
      </c>
      <c r="E82" s="14">
        <v>110</v>
      </c>
      <c r="H82" s="10">
        <v>11</v>
      </c>
      <c r="I82" s="15">
        <v>120</v>
      </c>
      <c r="J82" s="62">
        <f t="shared" si="13"/>
        <v>3.78E-2</v>
      </c>
      <c r="L82" s="10">
        <v>11</v>
      </c>
      <c r="M82" s="14">
        <v>111</v>
      </c>
      <c r="N82" s="64">
        <f>$N$75</f>
        <v>0.31929999999999997</v>
      </c>
      <c r="P82" s="10">
        <v>11</v>
      </c>
      <c r="Q82" s="15">
        <v>110</v>
      </c>
      <c r="R82" s="65">
        <f>$R$75</f>
        <v>0.64290000000000003</v>
      </c>
    </row>
    <row r="83" spans="2:18" x14ac:dyDescent="0.25">
      <c r="B83" s="9">
        <v>12</v>
      </c>
      <c r="C83" s="40">
        <v>130</v>
      </c>
      <c r="D83" s="42">
        <v>121</v>
      </c>
      <c r="E83" s="14">
        <v>120</v>
      </c>
      <c r="H83" s="9">
        <v>12</v>
      </c>
      <c r="I83" s="40">
        <v>120</v>
      </c>
      <c r="J83" s="63">
        <v>0</v>
      </c>
      <c r="L83" s="9">
        <v>12</v>
      </c>
      <c r="M83" s="42">
        <v>120</v>
      </c>
      <c r="N83" s="63">
        <v>0</v>
      </c>
      <c r="P83" s="9">
        <v>12</v>
      </c>
      <c r="Q83" s="15">
        <v>120</v>
      </c>
      <c r="R83" s="63">
        <v>1</v>
      </c>
    </row>
    <row r="84" spans="2:18" x14ac:dyDescent="0.25">
      <c r="B84" s="9">
        <v>20</v>
      </c>
      <c r="C84" s="15">
        <v>210</v>
      </c>
      <c r="D84" s="14">
        <v>201</v>
      </c>
      <c r="E84" s="14">
        <v>200</v>
      </c>
      <c r="H84" s="9">
        <v>20</v>
      </c>
      <c r="I84" s="15">
        <v>210</v>
      </c>
      <c r="J84" s="62">
        <f t="shared" si="13"/>
        <v>3.78E-2</v>
      </c>
      <c r="L84" s="9">
        <v>20</v>
      </c>
      <c r="M84" s="14">
        <v>201</v>
      </c>
      <c r="N84" s="64">
        <f>$N$75</f>
        <v>0.31929999999999997</v>
      </c>
      <c r="P84" s="9">
        <v>20</v>
      </c>
      <c r="Q84" s="15">
        <v>200</v>
      </c>
      <c r="R84" s="65">
        <f>$R$75</f>
        <v>0.64290000000000003</v>
      </c>
    </row>
    <row r="85" spans="2:18" x14ac:dyDescent="0.25">
      <c r="B85" s="9">
        <v>21</v>
      </c>
      <c r="C85" s="40">
        <v>220</v>
      </c>
      <c r="D85" s="42">
        <v>211</v>
      </c>
      <c r="E85" s="14">
        <v>210</v>
      </c>
      <c r="H85" s="9">
        <v>21</v>
      </c>
      <c r="I85" s="40">
        <v>210</v>
      </c>
      <c r="J85" s="63">
        <v>0</v>
      </c>
      <c r="L85" s="9">
        <v>21</v>
      </c>
      <c r="M85" s="42">
        <v>210</v>
      </c>
      <c r="N85" s="63">
        <v>0</v>
      </c>
      <c r="P85" s="9">
        <v>21</v>
      </c>
      <c r="Q85" s="15">
        <v>210</v>
      </c>
      <c r="R85" s="63">
        <v>1</v>
      </c>
    </row>
    <row r="86" spans="2:18" x14ac:dyDescent="0.25">
      <c r="B86" s="9">
        <v>30</v>
      </c>
      <c r="C86" s="40">
        <v>310</v>
      </c>
      <c r="D86" s="42">
        <v>301</v>
      </c>
      <c r="E86" s="14">
        <v>300</v>
      </c>
      <c r="H86" s="9">
        <v>30</v>
      </c>
      <c r="I86" s="40">
        <v>300</v>
      </c>
      <c r="J86" s="63">
        <v>0</v>
      </c>
      <c r="L86" s="9">
        <v>30</v>
      </c>
      <c r="M86" s="42">
        <v>300</v>
      </c>
      <c r="N86" s="63">
        <v>0</v>
      </c>
      <c r="P86" s="9">
        <v>30</v>
      </c>
      <c r="Q86" s="15">
        <v>300</v>
      </c>
      <c r="R86" s="63">
        <v>1</v>
      </c>
    </row>
    <row r="87" spans="2:18" x14ac:dyDescent="0.25">
      <c r="B87" s="10">
        <v>100</v>
      </c>
      <c r="C87" s="15">
        <v>10</v>
      </c>
      <c r="D87" s="14">
        <v>1</v>
      </c>
      <c r="E87" s="14">
        <v>0</v>
      </c>
      <c r="H87" s="10">
        <v>100</v>
      </c>
      <c r="I87" s="15">
        <v>10</v>
      </c>
      <c r="J87" s="62">
        <f t="shared" ref="J87:J96" si="16">$J$75</f>
        <v>3.78E-2</v>
      </c>
      <c r="L87" s="10">
        <v>100</v>
      </c>
      <c r="M87" s="14">
        <v>1</v>
      </c>
      <c r="N87" s="64">
        <f>$N$75</f>
        <v>0.31929999999999997</v>
      </c>
      <c r="P87" s="10">
        <v>100</v>
      </c>
      <c r="Q87" s="15">
        <v>0</v>
      </c>
      <c r="R87" s="65">
        <f>$R$75</f>
        <v>0.64290000000000003</v>
      </c>
    </row>
    <row r="88" spans="2:18" x14ac:dyDescent="0.25">
      <c r="B88" s="10">
        <v>101</v>
      </c>
      <c r="C88" s="15">
        <v>20</v>
      </c>
      <c r="D88" s="14">
        <v>11</v>
      </c>
      <c r="E88" s="14">
        <v>10</v>
      </c>
      <c r="H88" s="10">
        <v>101</v>
      </c>
      <c r="I88" s="15">
        <v>20</v>
      </c>
      <c r="J88" s="62">
        <f t="shared" si="16"/>
        <v>3.78E-2</v>
      </c>
      <c r="L88" s="10">
        <v>101</v>
      </c>
      <c r="M88" s="14">
        <v>11</v>
      </c>
      <c r="N88" s="64">
        <f t="shared" ref="N88:N96" si="17">$N$75</f>
        <v>0.31929999999999997</v>
      </c>
      <c r="P88" s="10">
        <v>101</v>
      </c>
      <c r="Q88" s="15">
        <v>10</v>
      </c>
      <c r="R88" s="65">
        <f t="shared" ref="R88:R96" si="18">$R$75</f>
        <v>0.64290000000000003</v>
      </c>
    </row>
    <row r="89" spans="2:18" x14ac:dyDescent="0.25">
      <c r="B89" s="10">
        <v>102</v>
      </c>
      <c r="C89" s="15">
        <v>30</v>
      </c>
      <c r="D89" s="14">
        <v>21</v>
      </c>
      <c r="E89" s="14">
        <v>20</v>
      </c>
      <c r="H89" s="10">
        <v>102</v>
      </c>
      <c r="I89" s="15">
        <v>30</v>
      </c>
      <c r="J89" s="62">
        <f t="shared" si="16"/>
        <v>3.78E-2</v>
      </c>
      <c r="L89" s="10">
        <v>102</v>
      </c>
      <c r="M89" s="14">
        <v>21</v>
      </c>
      <c r="N89" s="64">
        <f t="shared" si="17"/>
        <v>0.31929999999999997</v>
      </c>
      <c r="P89" s="10">
        <v>102</v>
      </c>
      <c r="Q89" s="15">
        <v>20</v>
      </c>
      <c r="R89" s="65">
        <f t="shared" si="18"/>
        <v>0.64290000000000003</v>
      </c>
    </row>
    <row r="90" spans="2:18" x14ac:dyDescent="0.25">
      <c r="B90" s="10">
        <v>110</v>
      </c>
      <c r="C90" s="15">
        <v>110</v>
      </c>
      <c r="D90" s="14">
        <v>101</v>
      </c>
      <c r="E90" s="14">
        <v>100</v>
      </c>
      <c r="H90" s="10">
        <v>110</v>
      </c>
      <c r="I90" s="15">
        <v>110</v>
      </c>
      <c r="J90" s="62">
        <f t="shared" si="16"/>
        <v>3.78E-2</v>
      </c>
      <c r="L90" s="10">
        <v>110</v>
      </c>
      <c r="M90" s="14">
        <v>101</v>
      </c>
      <c r="N90" s="64">
        <f t="shared" si="17"/>
        <v>0.31929999999999997</v>
      </c>
      <c r="P90" s="10">
        <v>110</v>
      </c>
      <c r="Q90" s="15">
        <v>100</v>
      </c>
      <c r="R90" s="65">
        <f t="shared" si="18"/>
        <v>0.64290000000000003</v>
      </c>
    </row>
    <row r="91" spans="2:18" x14ac:dyDescent="0.25">
      <c r="B91" s="10">
        <v>111</v>
      </c>
      <c r="C91" s="15">
        <v>120</v>
      </c>
      <c r="D91" s="14">
        <v>111</v>
      </c>
      <c r="E91" s="14">
        <v>110</v>
      </c>
      <c r="H91" s="10">
        <v>111</v>
      </c>
      <c r="I91" s="15">
        <v>120</v>
      </c>
      <c r="J91" s="62">
        <f t="shared" si="16"/>
        <v>3.78E-2</v>
      </c>
      <c r="L91" s="10">
        <v>111</v>
      </c>
      <c r="M91" s="14">
        <v>111</v>
      </c>
      <c r="N91" s="64">
        <f t="shared" si="17"/>
        <v>0.31929999999999997</v>
      </c>
      <c r="P91" s="10">
        <v>111</v>
      </c>
      <c r="Q91" s="15">
        <v>110</v>
      </c>
      <c r="R91" s="65">
        <f t="shared" si="18"/>
        <v>0.64290000000000003</v>
      </c>
    </row>
    <row r="92" spans="2:18" x14ac:dyDescent="0.25">
      <c r="B92" s="10">
        <v>120</v>
      </c>
      <c r="C92" s="15">
        <v>210</v>
      </c>
      <c r="D92" s="14">
        <v>201</v>
      </c>
      <c r="E92" s="14">
        <v>200</v>
      </c>
      <c r="H92" s="10">
        <v>120</v>
      </c>
      <c r="I92" s="15">
        <v>210</v>
      </c>
      <c r="J92" s="62">
        <f t="shared" si="16"/>
        <v>3.78E-2</v>
      </c>
      <c r="L92" s="10">
        <v>120</v>
      </c>
      <c r="M92" s="14">
        <v>201</v>
      </c>
      <c r="N92" s="64">
        <f t="shared" si="17"/>
        <v>0.31929999999999997</v>
      </c>
      <c r="P92" s="10">
        <v>120</v>
      </c>
      <c r="Q92" s="15">
        <v>200</v>
      </c>
      <c r="R92" s="65">
        <f t="shared" si="18"/>
        <v>0.64290000000000003</v>
      </c>
    </row>
    <row r="93" spans="2:18" x14ac:dyDescent="0.25">
      <c r="B93" s="10">
        <v>200</v>
      </c>
      <c r="C93" s="15">
        <v>10</v>
      </c>
      <c r="D93" s="14">
        <v>1</v>
      </c>
      <c r="E93" s="14">
        <v>0</v>
      </c>
      <c r="H93" s="10">
        <v>200</v>
      </c>
      <c r="I93" s="15">
        <v>10</v>
      </c>
      <c r="J93" s="62">
        <f t="shared" si="16"/>
        <v>3.78E-2</v>
      </c>
      <c r="L93" s="10">
        <v>200</v>
      </c>
      <c r="M93" s="14">
        <v>1</v>
      </c>
      <c r="N93" s="64">
        <f t="shared" si="17"/>
        <v>0.31929999999999997</v>
      </c>
      <c r="P93" s="10">
        <v>200</v>
      </c>
      <c r="Q93" s="15">
        <v>0</v>
      </c>
      <c r="R93" s="65">
        <f t="shared" si="18"/>
        <v>0.64290000000000003</v>
      </c>
    </row>
    <row r="94" spans="2:18" x14ac:dyDescent="0.25">
      <c r="B94" s="10">
        <v>201</v>
      </c>
      <c r="C94" s="15">
        <v>20</v>
      </c>
      <c r="D94" s="14">
        <v>11</v>
      </c>
      <c r="E94" s="14">
        <v>10</v>
      </c>
      <c r="H94" s="10">
        <v>201</v>
      </c>
      <c r="I94" s="15">
        <v>20</v>
      </c>
      <c r="J94" s="62">
        <f t="shared" si="16"/>
        <v>3.78E-2</v>
      </c>
      <c r="L94" s="10">
        <v>201</v>
      </c>
      <c r="M94" s="14">
        <v>21</v>
      </c>
      <c r="N94" s="64">
        <f t="shared" si="17"/>
        <v>0.31929999999999997</v>
      </c>
      <c r="P94" s="10">
        <v>201</v>
      </c>
      <c r="Q94" s="15">
        <v>10</v>
      </c>
      <c r="R94" s="65">
        <f t="shared" si="18"/>
        <v>0.64290000000000003</v>
      </c>
    </row>
    <row r="95" spans="2:18" x14ac:dyDescent="0.25">
      <c r="B95" s="10">
        <v>210</v>
      </c>
      <c r="C95" s="15">
        <v>110</v>
      </c>
      <c r="D95" s="14">
        <v>101</v>
      </c>
      <c r="E95" s="14">
        <v>100</v>
      </c>
      <c r="H95" s="10">
        <v>210</v>
      </c>
      <c r="I95" s="15">
        <v>110</v>
      </c>
      <c r="J95" s="62">
        <f t="shared" si="16"/>
        <v>3.78E-2</v>
      </c>
      <c r="L95" s="10">
        <v>210</v>
      </c>
      <c r="M95" s="14">
        <v>101</v>
      </c>
      <c r="N95" s="64">
        <f t="shared" si="17"/>
        <v>0.31929999999999997</v>
      </c>
      <c r="P95" s="10">
        <v>210</v>
      </c>
      <c r="Q95" s="15">
        <v>100</v>
      </c>
      <c r="R95" s="65">
        <f t="shared" si="18"/>
        <v>0.64290000000000003</v>
      </c>
    </row>
    <row r="96" spans="2:18" x14ac:dyDescent="0.25">
      <c r="B96" s="10">
        <v>300</v>
      </c>
      <c r="C96" s="15">
        <v>10</v>
      </c>
      <c r="D96" s="14">
        <v>1</v>
      </c>
      <c r="E96" s="14">
        <v>0</v>
      </c>
      <c r="H96" s="10">
        <v>300</v>
      </c>
      <c r="I96" s="15">
        <v>10</v>
      </c>
      <c r="J96" s="62">
        <f t="shared" si="16"/>
        <v>3.78E-2</v>
      </c>
      <c r="L96" s="10">
        <v>300</v>
      </c>
      <c r="M96" s="14">
        <v>1</v>
      </c>
      <c r="N96" s="64">
        <f t="shared" si="17"/>
        <v>0.31929999999999997</v>
      </c>
      <c r="P96" s="10">
        <v>300</v>
      </c>
      <c r="Q96" s="15">
        <v>0</v>
      </c>
      <c r="R96" s="65">
        <f t="shared" si="18"/>
        <v>0.64290000000000003</v>
      </c>
    </row>
    <row r="97" spans="1:26" x14ac:dyDescent="0.25">
      <c r="B97" s="2"/>
      <c r="C97" s="15"/>
      <c r="D97" s="14"/>
      <c r="E97" s="14"/>
      <c r="H97" s="2"/>
      <c r="I97" s="15"/>
      <c r="J97" s="70"/>
      <c r="L97" s="2"/>
      <c r="M97" s="14"/>
      <c r="N97" s="70"/>
      <c r="P97" s="2"/>
      <c r="Q97" s="15"/>
      <c r="R97" s="70"/>
    </row>
    <row r="98" spans="1:26" x14ac:dyDescent="0.25">
      <c r="B98" s="2"/>
      <c r="C98" s="15"/>
      <c r="H98" s="2"/>
      <c r="I98" s="15"/>
      <c r="J98" s="70"/>
      <c r="L98" s="2"/>
      <c r="M98" s="69"/>
      <c r="N98" s="14" t="s">
        <v>105</v>
      </c>
      <c r="P98" s="2"/>
      <c r="Q98" s="15"/>
      <c r="R98" s="70"/>
    </row>
    <row r="99" spans="1:26" x14ac:dyDescent="0.25">
      <c r="B99" s="2"/>
      <c r="E99" s="190" t="s">
        <v>73</v>
      </c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</row>
    <row r="100" spans="1:26" x14ac:dyDescent="0.25">
      <c r="C100" s="2"/>
      <c r="D100" s="15"/>
      <c r="E100" s="52" t="s">
        <v>85</v>
      </c>
      <c r="F100" s="52" t="s">
        <v>86</v>
      </c>
      <c r="G100" s="52" t="s">
        <v>87</v>
      </c>
      <c r="H100" s="52" t="s">
        <v>88</v>
      </c>
      <c r="I100" s="52" t="s">
        <v>89</v>
      </c>
      <c r="J100" s="52" t="s">
        <v>90</v>
      </c>
      <c r="K100" s="52" t="s">
        <v>91</v>
      </c>
      <c r="L100" s="52" t="s">
        <v>92</v>
      </c>
      <c r="M100" s="52" t="s">
        <v>93</v>
      </c>
      <c r="N100" s="52" t="s">
        <v>94</v>
      </c>
      <c r="O100" s="52" t="s">
        <v>95</v>
      </c>
      <c r="P100" s="52" t="s">
        <v>96</v>
      </c>
      <c r="Q100" s="52" t="s">
        <v>97</v>
      </c>
      <c r="R100" s="52" t="s">
        <v>98</v>
      </c>
      <c r="S100" s="52" t="s">
        <v>99</v>
      </c>
      <c r="T100" s="52" t="s">
        <v>100</v>
      </c>
      <c r="U100" s="52" t="s">
        <v>101</v>
      </c>
      <c r="V100" s="52" t="s">
        <v>102</v>
      </c>
      <c r="W100" s="52" t="s">
        <v>103</v>
      </c>
      <c r="X100" s="52" t="s">
        <v>104</v>
      </c>
    </row>
    <row r="101" spans="1:26" x14ac:dyDescent="0.25">
      <c r="D101" s="8"/>
      <c r="E101" s="11" t="s">
        <v>15</v>
      </c>
      <c r="F101" s="11" t="s">
        <v>26</v>
      </c>
      <c r="G101" s="11" t="s">
        <v>47</v>
      </c>
      <c r="H101" s="11" t="s">
        <v>25</v>
      </c>
      <c r="I101" s="11" t="s">
        <v>24</v>
      </c>
      <c r="J101" s="11" t="s">
        <v>27</v>
      </c>
      <c r="K101" s="11" t="s">
        <v>49</v>
      </c>
      <c r="L101" s="11" t="s">
        <v>37</v>
      </c>
      <c r="M101" s="11" t="s">
        <v>48</v>
      </c>
      <c r="N101" s="11" t="s">
        <v>46</v>
      </c>
      <c r="O101" s="11">
        <v>100</v>
      </c>
      <c r="P101" s="11">
        <v>101</v>
      </c>
      <c r="Q101" s="11">
        <v>102</v>
      </c>
      <c r="R101" s="11">
        <v>110</v>
      </c>
      <c r="S101" s="11">
        <v>111</v>
      </c>
      <c r="T101" s="11">
        <v>120</v>
      </c>
      <c r="U101" s="11">
        <v>200</v>
      </c>
      <c r="V101" s="11">
        <v>201</v>
      </c>
      <c r="W101" s="11">
        <v>210</v>
      </c>
      <c r="X101" s="11">
        <v>300</v>
      </c>
      <c r="Y101" s="2"/>
      <c r="Z101" s="11" t="s">
        <v>30</v>
      </c>
    </row>
    <row r="102" spans="1:26" x14ac:dyDescent="0.25">
      <c r="B102" s="191" t="s">
        <v>74</v>
      </c>
      <c r="C102" s="52" t="s">
        <v>85</v>
      </c>
      <c r="D102" s="67" t="s">
        <v>15</v>
      </c>
      <c r="E102" s="65">
        <f>R77</f>
        <v>0.64290000000000003</v>
      </c>
      <c r="F102" s="64">
        <f>N77</f>
        <v>0.31929999999999997</v>
      </c>
      <c r="G102" s="61">
        <v>0</v>
      </c>
      <c r="H102" s="61">
        <v>0</v>
      </c>
      <c r="I102" s="62">
        <f>J77</f>
        <v>3.78E-2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Z102" s="53">
        <f>ROUND(SUM(E102:X102),0)</f>
        <v>1</v>
      </c>
    </row>
    <row r="103" spans="1:26" x14ac:dyDescent="0.25">
      <c r="B103" s="191"/>
      <c r="C103" s="52" t="s">
        <v>86</v>
      </c>
      <c r="D103" s="67" t="s">
        <v>26</v>
      </c>
      <c r="E103" s="61">
        <v>0</v>
      </c>
      <c r="F103" s="61">
        <v>0</v>
      </c>
      <c r="G103" s="61">
        <v>0</v>
      </c>
      <c r="H103" s="61">
        <v>0</v>
      </c>
      <c r="I103" s="65">
        <f>R78</f>
        <v>0.64290000000000003</v>
      </c>
      <c r="J103" s="64">
        <f>N78</f>
        <v>0.31929999999999997</v>
      </c>
      <c r="K103" s="61">
        <v>0</v>
      </c>
      <c r="L103" s="62">
        <f>J78</f>
        <v>3.78E-2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Z103" s="53">
        <f t="shared" ref="Z103:Z121" si="19">ROUND(SUM(E103:X103),0)</f>
        <v>1</v>
      </c>
    </row>
    <row r="104" spans="1:26" x14ac:dyDescent="0.25">
      <c r="A104" s="17"/>
      <c r="B104" s="191"/>
      <c r="C104" s="68" t="s">
        <v>87</v>
      </c>
      <c r="D104" s="67" t="s">
        <v>47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5">
        <f>R79</f>
        <v>0.64290000000000003</v>
      </c>
      <c r="M104" s="64">
        <f>N79</f>
        <v>0.31929999999999997</v>
      </c>
      <c r="N104" s="62">
        <f>J79</f>
        <v>3.78E-2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Z104" s="53">
        <f t="shared" si="19"/>
        <v>1</v>
      </c>
    </row>
    <row r="105" spans="1:26" x14ac:dyDescent="0.25">
      <c r="A105" s="17"/>
      <c r="B105" s="191"/>
      <c r="C105" s="52" t="s">
        <v>88</v>
      </c>
      <c r="D105" s="67" t="s">
        <v>25</v>
      </c>
      <c r="E105" s="61">
        <v>0</v>
      </c>
      <c r="F105" s="61">
        <v>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3">
        <f>R80</f>
        <v>1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Z105" s="53">
        <f t="shared" si="19"/>
        <v>1</v>
      </c>
    </row>
    <row r="106" spans="1:26" x14ac:dyDescent="0.25">
      <c r="A106" s="17"/>
      <c r="B106" s="191"/>
      <c r="C106" s="52" t="s">
        <v>89</v>
      </c>
      <c r="D106" s="67" t="s">
        <v>24</v>
      </c>
      <c r="E106" s="61">
        <v>0</v>
      </c>
      <c r="F106" s="61">
        <v>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5">
        <f>R81</f>
        <v>0.64290000000000003</v>
      </c>
      <c r="P106" s="64">
        <f>N81</f>
        <v>0.31929999999999997</v>
      </c>
      <c r="Q106" s="61">
        <v>0</v>
      </c>
      <c r="R106" s="62">
        <f>J81</f>
        <v>3.78E-2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Z106" s="53">
        <f t="shared" si="19"/>
        <v>1</v>
      </c>
    </row>
    <row r="107" spans="1:26" x14ac:dyDescent="0.25">
      <c r="A107" s="17"/>
      <c r="B107" s="191"/>
      <c r="C107" s="52" t="s">
        <v>90</v>
      </c>
      <c r="D107" s="67" t="s">
        <v>27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5">
        <f>R82</f>
        <v>0.64290000000000003</v>
      </c>
      <c r="S107" s="64">
        <f>N82</f>
        <v>0.31929999999999997</v>
      </c>
      <c r="T107" s="62">
        <f>J82</f>
        <v>3.78E-2</v>
      </c>
      <c r="U107" s="61">
        <v>0</v>
      </c>
      <c r="V107" s="61">
        <v>0</v>
      </c>
      <c r="W107" s="61">
        <v>0</v>
      </c>
      <c r="X107" s="61">
        <v>0</v>
      </c>
      <c r="Z107" s="53">
        <f t="shared" si="19"/>
        <v>1</v>
      </c>
    </row>
    <row r="108" spans="1:26" x14ac:dyDescent="0.25">
      <c r="A108" s="17"/>
      <c r="B108" s="191"/>
      <c r="C108" s="52" t="s">
        <v>91</v>
      </c>
      <c r="D108" s="67" t="s">
        <v>49</v>
      </c>
      <c r="E108" s="61">
        <v>0</v>
      </c>
      <c r="F108" s="61">
        <v>0</v>
      </c>
      <c r="G108" s="61">
        <v>0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3">
        <f>R83</f>
        <v>1</v>
      </c>
      <c r="U108" s="61">
        <v>0</v>
      </c>
      <c r="V108" s="61">
        <v>0</v>
      </c>
      <c r="W108" s="61">
        <v>0</v>
      </c>
      <c r="X108" s="61">
        <v>0</v>
      </c>
      <c r="Z108" s="53">
        <f t="shared" si="19"/>
        <v>1</v>
      </c>
    </row>
    <row r="109" spans="1:26" x14ac:dyDescent="0.25">
      <c r="A109" s="17"/>
      <c r="B109" s="191"/>
      <c r="C109" s="68" t="s">
        <v>92</v>
      </c>
      <c r="D109" s="67" t="s">
        <v>37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5">
        <f>R84</f>
        <v>0.64290000000000003</v>
      </c>
      <c r="V109" s="64">
        <f>N84</f>
        <v>0.31929999999999997</v>
      </c>
      <c r="W109" s="62">
        <f>J84</f>
        <v>3.78E-2</v>
      </c>
      <c r="X109" s="61">
        <v>0</v>
      </c>
      <c r="Z109" s="53">
        <f t="shared" si="19"/>
        <v>1</v>
      </c>
    </row>
    <row r="110" spans="1:26" x14ac:dyDescent="0.25">
      <c r="A110" s="17"/>
      <c r="B110" s="191"/>
      <c r="C110" s="52" t="s">
        <v>93</v>
      </c>
      <c r="D110" s="67" t="s">
        <v>48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3">
        <f>R85</f>
        <v>1</v>
      </c>
      <c r="X110" s="61">
        <v>0</v>
      </c>
      <c r="Z110" s="53">
        <f t="shared" si="19"/>
        <v>1</v>
      </c>
    </row>
    <row r="111" spans="1:26" x14ac:dyDescent="0.25">
      <c r="A111" s="17"/>
      <c r="B111" s="191"/>
      <c r="C111" s="52" t="s">
        <v>94</v>
      </c>
      <c r="D111" s="67" t="s">
        <v>46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3">
        <f>R86</f>
        <v>1</v>
      </c>
      <c r="Z111" s="53">
        <f t="shared" si="19"/>
        <v>1</v>
      </c>
    </row>
    <row r="112" spans="1:26" x14ac:dyDescent="0.25">
      <c r="A112" s="17"/>
      <c r="B112" s="191"/>
      <c r="C112" s="52" t="s">
        <v>95</v>
      </c>
      <c r="D112" s="67">
        <v>100</v>
      </c>
      <c r="E112" s="65">
        <f>R87</f>
        <v>0.64290000000000003</v>
      </c>
      <c r="F112" s="64">
        <f>N87</f>
        <v>0.31929999999999997</v>
      </c>
      <c r="G112" s="61">
        <v>0</v>
      </c>
      <c r="H112" s="61">
        <v>0</v>
      </c>
      <c r="I112" s="62">
        <f>J87</f>
        <v>3.78E-2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Z112" s="53">
        <f t="shared" si="19"/>
        <v>1</v>
      </c>
    </row>
    <row r="113" spans="1:26" x14ac:dyDescent="0.25">
      <c r="A113" s="17"/>
      <c r="B113" s="191"/>
      <c r="C113" s="52" t="s">
        <v>96</v>
      </c>
      <c r="D113" s="67">
        <v>101</v>
      </c>
      <c r="E113" s="61">
        <v>0</v>
      </c>
      <c r="F113" s="61">
        <v>0</v>
      </c>
      <c r="G113" s="61">
        <v>0</v>
      </c>
      <c r="H113" s="61">
        <v>0</v>
      </c>
      <c r="I113" s="65">
        <f>R88</f>
        <v>0.64290000000000003</v>
      </c>
      <c r="J113" s="64">
        <f>N88</f>
        <v>0.31929999999999997</v>
      </c>
      <c r="K113" s="61">
        <v>0</v>
      </c>
      <c r="L113" s="62">
        <f>J88</f>
        <v>3.78E-2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Z113" s="53">
        <f t="shared" si="19"/>
        <v>1</v>
      </c>
    </row>
    <row r="114" spans="1:26" x14ac:dyDescent="0.25">
      <c r="A114" s="17"/>
      <c r="B114" s="191"/>
      <c r="C114" s="52" t="s">
        <v>97</v>
      </c>
      <c r="D114" s="67">
        <v>102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5">
        <f>R89</f>
        <v>0.64290000000000003</v>
      </c>
      <c r="M114" s="64">
        <f>N89</f>
        <v>0.31929999999999997</v>
      </c>
      <c r="N114" s="62">
        <f>J89</f>
        <v>3.78E-2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Z114" s="53">
        <f t="shared" si="19"/>
        <v>1</v>
      </c>
    </row>
    <row r="115" spans="1:26" x14ac:dyDescent="0.25">
      <c r="A115" s="17"/>
      <c r="B115" s="191"/>
      <c r="C115" s="52" t="s">
        <v>98</v>
      </c>
      <c r="D115" s="67">
        <v>110</v>
      </c>
      <c r="E115" s="61">
        <v>0</v>
      </c>
      <c r="F115" s="61">
        <v>0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5">
        <f>R90</f>
        <v>0.64290000000000003</v>
      </c>
      <c r="P115" s="64">
        <f>N90</f>
        <v>0.31929999999999997</v>
      </c>
      <c r="Q115" s="61">
        <v>0</v>
      </c>
      <c r="R115" s="62">
        <f>J90</f>
        <v>3.78E-2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Z115" s="53">
        <f t="shared" si="19"/>
        <v>1</v>
      </c>
    </row>
    <row r="116" spans="1:26" x14ac:dyDescent="0.25">
      <c r="A116" s="17"/>
      <c r="B116" s="191"/>
      <c r="C116" s="52" t="s">
        <v>99</v>
      </c>
      <c r="D116" s="67">
        <v>111</v>
      </c>
      <c r="E116" s="61">
        <v>0</v>
      </c>
      <c r="F116" s="61">
        <v>0</v>
      </c>
      <c r="G116" s="61">
        <v>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5">
        <f>R91</f>
        <v>0.64290000000000003</v>
      </c>
      <c r="S116" s="64">
        <f>S107</f>
        <v>0.31929999999999997</v>
      </c>
      <c r="T116" s="62">
        <f>J91</f>
        <v>3.78E-2</v>
      </c>
      <c r="U116" s="61">
        <v>0</v>
      </c>
      <c r="V116" s="61">
        <v>0</v>
      </c>
      <c r="W116" s="61">
        <v>0</v>
      </c>
      <c r="X116" s="61">
        <v>0</v>
      </c>
      <c r="Z116" s="53">
        <f t="shared" si="19"/>
        <v>1</v>
      </c>
    </row>
    <row r="117" spans="1:26" x14ac:dyDescent="0.25">
      <c r="A117" s="17"/>
      <c r="B117" s="191"/>
      <c r="C117" s="52" t="s">
        <v>100</v>
      </c>
      <c r="D117" s="67">
        <v>120</v>
      </c>
      <c r="E117" s="61">
        <v>0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5">
        <f>R92</f>
        <v>0.64290000000000003</v>
      </c>
      <c r="V117" s="64">
        <f>V109</f>
        <v>0.31929999999999997</v>
      </c>
      <c r="W117" s="62">
        <f>J92</f>
        <v>3.78E-2</v>
      </c>
      <c r="X117" s="61">
        <v>0</v>
      </c>
      <c r="Z117" s="53">
        <f t="shared" si="19"/>
        <v>1</v>
      </c>
    </row>
    <row r="118" spans="1:26" x14ac:dyDescent="0.25">
      <c r="A118" s="17"/>
      <c r="B118" s="191"/>
      <c r="C118" s="52" t="s">
        <v>101</v>
      </c>
      <c r="D118" s="67">
        <v>200</v>
      </c>
      <c r="E118" s="65">
        <f>R93</f>
        <v>0.64290000000000003</v>
      </c>
      <c r="F118" s="64">
        <f>F112</f>
        <v>0.31929999999999997</v>
      </c>
      <c r="G118" s="61">
        <v>0</v>
      </c>
      <c r="H118" s="61">
        <v>0</v>
      </c>
      <c r="I118" s="62">
        <f>J93</f>
        <v>3.78E-2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Z118" s="53">
        <f t="shared" si="19"/>
        <v>1</v>
      </c>
    </row>
    <row r="119" spans="1:26" x14ac:dyDescent="0.25">
      <c r="A119" s="17"/>
      <c r="B119" s="191"/>
      <c r="C119" s="68" t="s">
        <v>102</v>
      </c>
      <c r="D119" s="67">
        <v>201</v>
      </c>
      <c r="E119" s="61">
        <v>0</v>
      </c>
      <c r="F119" s="61">
        <v>0</v>
      </c>
      <c r="G119" s="61">
        <v>0</v>
      </c>
      <c r="H119" s="61">
        <v>0</v>
      </c>
      <c r="I119" s="65">
        <f>R94</f>
        <v>0.64290000000000003</v>
      </c>
      <c r="J119" s="64">
        <f>N94</f>
        <v>0.31929999999999997</v>
      </c>
      <c r="K119" s="61">
        <v>0</v>
      </c>
      <c r="L119" s="62">
        <f>J94</f>
        <v>3.78E-2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Z119" s="53">
        <f t="shared" si="19"/>
        <v>1</v>
      </c>
    </row>
    <row r="120" spans="1:26" x14ac:dyDescent="0.25">
      <c r="A120" s="17"/>
      <c r="B120" s="191"/>
      <c r="C120" s="52" t="s">
        <v>103</v>
      </c>
      <c r="D120" s="67">
        <v>210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5">
        <f>R95</f>
        <v>0.64290000000000003</v>
      </c>
      <c r="P120" s="64">
        <f>N95</f>
        <v>0.31929999999999997</v>
      </c>
      <c r="Q120" s="61">
        <v>0</v>
      </c>
      <c r="R120" s="62">
        <f>J95</f>
        <v>3.78E-2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Z120" s="53">
        <f t="shared" si="19"/>
        <v>1</v>
      </c>
    </row>
    <row r="121" spans="1:26" x14ac:dyDescent="0.25">
      <c r="A121" s="17"/>
      <c r="B121" s="191"/>
      <c r="C121" s="52" t="s">
        <v>104</v>
      </c>
      <c r="D121" s="67">
        <v>300</v>
      </c>
      <c r="E121" s="65">
        <f>R96</f>
        <v>0.64290000000000003</v>
      </c>
      <c r="F121" s="64">
        <f>F112</f>
        <v>0.31929999999999997</v>
      </c>
      <c r="G121" s="61">
        <v>0</v>
      </c>
      <c r="H121" s="61">
        <v>0</v>
      </c>
      <c r="I121" s="62">
        <f>J96</f>
        <v>3.78E-2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Z121" s="53">
        <f t="shared" si="19"/>
        <v>1</v>
      </c>
    </row>
  </sheetData>
  <mergeCells count="10">
    <mergeCell ref="E99:X99"/>
    <mergeCell ref="B102:B121"/>
    <mergeCell ref="A1:L1"/>
    <mergeCell ref="A2:P2"/>
    <mergeCell ref="B18:E18"/>
    <mergeCell ref="F18:I18"/>
    <mergeCell ref="J18:M18"/>
    <mergeCell ref="Q74:R74"/>
    <mergeCell ref="M74:N74"/>
    <mergeCell ref="I74:J74"/>
  </mergeCells>
  <phoneticPr fontId="11" type="noConversion"/>
  <conditionalFormatting sqref="Q21:Q24">
    <cfRule type="duplicateValues" dxfId="46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5BB3AD1-E4F2-4624-A311-FE749CA2E0C9}">
            <x14:iconSet iconSet="3Symbols" showValue="0" custom="1">
              <x14:cfvo type="percent">
                <xm:f>0</xm:f>
              </x14:cfvo>
              <x14:cfvo type="num" gte="0">
                <xm:f>3.5</xm:f>
              </x14:cfvo>
              <x14:cfvo type="num" gte="0">
                <xm:f>8</xm:f>
              </x14:cfvo>
              <x14:cfIcon iconSet="3Symbols" iconId="2"/>
              <x14:cfIcon iconSet="3Symbols" iconId="0"/>
              <x14:cfIcon iconSet="3Symbols" iconId="0"/>
            </x14:iconSet>
          </x14:cfRule>
          <xm:sqref>M28:M48 T28:T48 F28:F49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C68C-4160-47A8-A132-C3978EEF9596}">
  <dimension ref="A1:Z121"/>
  <sheetViews>
    <sheetView topLeftCell="A79" zoomScaleNormal="100" workbookViewId="0">
      <selection activeCell="F21" sqref="F21"/>
    </sheetView>
  </sheetViews>
  <sheetFormatPr defaultRowHeight="15" x14ac:dyDescent="0.25"/>
  <cols>
    <col min="1" max="1" width="5.5703125" customWidth="1"/>
    <col min="2" max="2" width="4.140625" customWidth="1"/>
    <col min="3" max="3" width="6.28515625" customWidth="1"/>
    <col min="4" max="4" width="5.28515625" customWidth="1"/>
    <col min="5" max="24" width="6" customWidth="1"/>
    <col min="25" max="25" width="2.85546875" customWidth="1"/>
    <col min="26" max="26" width="4.85546875" bestFit="1" customWidth="1"/>
  </cols>
  <sheetData>
    <row r="1" spans="1:17" ht="15.75" x14ac:dyDescent="0.25">
      <c r="A1" s="187" t="s">
        <v>36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23"/>
      <c r="N1" s="24"/>
      <c r="O1" s="24"/>
      <c r="P1" s="24"/>
      <c r="Q1" s="24"/>
    </row>
    <row r="2" spans="1:17" ht="15.75" x14ac:dyDescent="0.25">
      <c r="A2" s="187" t="s">
        <v>35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23"/>
    </row>
    <row r="3" spans="1:17" x14ac:dyDescent="0.25">
      <c r="A3" s="3" t="s">
        <v>10</v>
      </c>
      <c r="B3" s="3"/>
      <c r="C3" s="3" t="s">
        <v>11</v>
      </c>
    </row>
    <row r="4" spans="1:17" x14ac:dyDescent="0.25">
      <c r="A4" s="3"/>
      <c r="B4" s="3"/>
      <c r="C4" s="3"/>
    </row>
    <row r="5" spans="1:17" x14ac:dyDescent="0.25">
      <c r="A5" s="2" t="s">
        <v>38</v>
      </c>
      <c r="B5" s="3"/>
      <c r="C5" s="3"/>
      <c r="D5" t="s">
        <v>39</v>
      </c>
    </row>
    <row r="6" spans="1:17" x14ac:dyDescent="0.25">
      <c r="A6" s="2"/>
      <c r="B6" s="3"/>
      <c r="C6" s="3"/>
    </row>
    <row r="7" spans="1:17" x14ac:dyDescent="0.25">
      <c r="A7" s="2" t="s">
        <v>83</v>
      </c>
      <c r="B7" s="3"/>
      <c r="C7" s="3"/>
    </row>
    <row r="8" spans="1:17" x14ac:dyDescent="0.25">
      <c r="A8" s="2" t="s">
        <v>3</v>
      </c>
      <c r="E8">
        <v>10</v>
      </c>
      <c r="F8" t="s">
        <v>75</v>
      </c>
    </row>
    <row r="9" spans="1:17" x14ac:dyDescent="0.25">
      <c r="A9" s="2" t="s">
        <v>76</v>
      </c>
      <c r="B9" s="3"/>
      <c r="C9" s="3"/>
      <c r="E9" s="66">
        <v>0.25</v>
      </c>
    </row>
    <row r="10" spans="1:17" x14ac:dyDescent="0.25">
      <c r="A10" s="2" t="s">
        <v>77</v>
      </c>
      <c r="B10" s="3"/>
      <c r="C10" s="3"/>
      <c r="E10" s="66">
        <v>0.95833333333333337</v>
      </c>
    </row>
    <row r="11" spans="1:17" x14ac:dyDescent="0.25">
      <c r="A11" s="2" t="s">
        <v>78</v>
      </c>
      <c r="B11" s="3"/>
      <c r="C11" s="3"/>
      <c r="E11" s="66">
        <f>(E10-E9)</f>
        <v>0.70833333333333337</v>
      </c>
      <c r="F11" s="1" t="s">
        <v>81</v>
      </c>
      <c r="G11">
        <v>17</v>
      </c>
      <c r="H11" t="s">
        <v>82</v>
      </c>
    </row>
    <row r="12" spans="1:17" x14ac:dyDescent="0.25">
      <c r="A12" s="2" t="s">
        <v>80</v>
      </c>
      <c r="B12" s="3"/>
      <c r="C12" s="3"/>
      <c r="E12">
        <v>60</v>
      </c>
      <c r="F12" t="s">
        <v>75</v>
      </c>
    </row>
    <row r="13" spans="1:17" x14ac:dyDescent="0.25">
      <c r="A13" s="2" t="s">
        <v>79</v>
      </c>
      <c r="B13" s="3"/>
      <c r="C13" s="3"/>
      <c r="E13">
        <f>17*60/E8</f>
        <v>102</v>
      </c>
    </row>
    <row r="14" spans="1:17" x14ac:dyDescent="0.25">
      <c r="A14" s="2"/>
      <c r="B14" s="3"/>
      <c r="C14" s="3"/>
    </row>
    <row r="15" spans="1:17" x14ac:dyDescent="0.25">
      <c r="A15" s="2"/>
      <c r="B15" s="3"/>
      <c r="C15" s="3"/>
    </row>
    <row r="16" spans="1:17" x14ac:dyDescent="0.25">
      <c r="A16" s="2"/>
      <c r="B16" s="3"/>
      <c r="C16" s="3"/>
    </row>
    <row r="17" spans="1:20" x14ac:dyDescent="0.25">
      <c r="A17" s="2" t="s">
        <v>50</v>
      </c>
      <c r="B17" s="3"/>
      <c r="C17" s="3"/>
    </row>
    <row r="18" spans="1:20" x14ac:dyDescent="0.25">
      <c r="A18" s="33"/>
      <c r="B18" s="189">
        <v>10</v>
      </c>
      <c r="C18" s="189"/>
      <c r="D18" s="189"/>
      <c r="E18" s="189"/>
      <c r="F18" s="189">
        <v>20</v>
      </c>
      <c r="G18" s="189"/>
      <c r="H18" s="189"/>
      <c r="I18" s="189"/>
      <c r="J18" s="189">
        <v>30</v>
      </c>
      <c r="K18" s="189"/>
      <c r="L18" s="189"/>
      <c r="M18" s="189"/>
      <c r="N18" s="26"/>
      <c r="O18" s="2"/>
      <c r="P18" s="2"/>
      <c r="Q18" s="25"/>
    </row>
    <row r="19" spans="1:20" x14ac:dyDescent="0.25">
      <c r="A19" s="7">
        <v>0</v>
      </c>
      <c r="B19" s="27">
        <v>10</v>
      </c>
      <c r="C19" s="28">
        <v>11</v>
      </c>
      <c r="D19" s="28">
        <v>12</v>
      </c>
      <c r="E19" s="28">
        <v>13</v>
      </c>
      <c r="F19" s="27">
        <v>20</v>
      </c>
      <c r="G19" s="7">
        <v>21</v>
      </c>
      <c r="H19" s="7">
        <v>22</v>
      </c>
      <c r="I19" s="7">
        <v>23</v>
      </c>
      <c r="J19" s="27">
        <v>30</v>
      </c>
      <c r="K19" s="7">
        <v>31</v>
      </c>
      <c r="L19" s="7">
        <v>32</v>
      </c>
      <c r="M19" s="7">
        <v>33</v>
      </c>
      <c r="N19" s="26"/>
      <c r="O19" s="2"/>
      <c r="P19" s="2"/>
      <c r="Q19" s="25"/>
    </row>
    <row r="20" spans="1:20" x14ac:dyDescent="0.25">
      <c r="A20" s="2" t="s">
        <v>40</v>
      </c>
      <c r="B20" s="29">
        <v>10</v>
      </c>
      <c r="C20" s="32">
        <v>11</v>
      </c>
      <c r="D20" s="32">
        <v>12</v>
      </c>
      <c r="E20" s="32">
        <v>13</v>
      </c>
      <c r="F20" s="29">
        <v>20</v>
      </c>
      <c r="G20" s="32">
        <v>21</v>
      </c>
      <c r="H20" s="32">
        <v>22</v>
      </c>
      <c r="I20" s="32">
        <v>23</v>
      </c>
      <c r="J20" s="29">
        <v>30</v>
      </c>
      <c r="K20" s="32">
        <v>31</v>
      </c>
      <c r="L20" s="32">
        <v>32</v>
      </c>
      <c r="M20" s="34">
        <v>33</v>
      </c>
      <c r="N20" s="36"/>
      <c r="O20" s="2"/>
      <c r="P20" s="2"/>
      <c r="Q20" s="25"/>
    </row>
    <row r="21" spans="1:20" x14ac:dyDescent="0.25">
      <c r="A21" s="2">
        <v>0</v>
      </c>
      <c r="B21" s="29">
        <v>100</v>
      </c>
      <c r="C21" s="32">
        <v>110</v>
      </c>
      <c r="D21" s="32">
        <v>120</v>
      </c>
      <c r="E21" s="32">
        <v>130</v>
      </c>
      <c r="F21" s="29">
        <v>200</v>
      </c>
      <c r="G21" s="32">
        <v>210</v>
      </c>
      <c r="H21" s="32">
        <v>220</v>
      </c>
      <c r="I21" s="32">
        <v>230</v>
      </c>
      <c r="J21" s="29">
        <v>300</v>
      </c>
      <c r="K21" s="32">
        <v>310</v>
      </c>
      <c r="L21" s="32">
        <v>320</v>
      </c>
      <c r="M21" s="34">
        <v>330</v>
      </c>
      <c r="N21" s="36"/>
      <c r="O21" s="1"/>
    </row>
    <row r="22" spans="1:20" x14ac:dyDescent="0.25">
      <c r="A22" s="2">
        <v>1</v>
      </c>
      <c r="B22" s="29">
        <v>101</v>
      </c>
      <c r="C22" s="30">
        <v>111</v>
      </c>
      <c r="D22" s="30">
        <v>121</v>
      </c>
      <c r="E22" s="30">
        <v>131</v>
      </c>
      <c r="F22" s="29">
        <v>201</v>
      </c>
      <c r="G22" s="30">
        <v>211</v>
      </c>
      <c r="H22" s="30">
        <v>221</v>
      </c>
      <c r="I22" s="30">
        <v>231</v>
      </c>
      <c r="J22" s="29">
        <v>301</v>
      </c>
      <c r="K22" s="30">
        <v>311</v>
      </c>
      <c r="L22" s="30">
        <v>321</v>
      </c>
      <c r="M22" s="35">
        <v>331</v>
      </c>
      <c r="N22" s="36"/>
      <c r="O22" s="1"/>
      <c r="P22" s="1"/>
    </row>
    <row r="23" spans="1:20" x14ac:dyDescent="0.25">
      <c r="A23" s="2">
        <v>2</v>
      </c>
      <c r="B23" s="29">
        <v>102</v>
      </c>
      <c r="C23" s="30">
        <v>112</v>
      </c>
      <c r="D23" s="30">
        <v>122</v>
      </c>
      <c r="E23" s="30">
        <v>132</v>
      </c>
      <c r="F23" s="29">
        <v>202</v>
      </c>
      <c r="G23" s="30">
        <v>212</v>
      </c>
      <c r="H23" s="30">
        <v>222</v>
      </c>
      <c r="I23" s="30">
        <v>232</v>
      </c>
      <c r="J23" s="29">
        <v>302</v>
      </c>
      <c r="K23" s="30">
        <v>312</v>
      </c>
      <c r="L23" s="30">
        <v>322</v>
      </c>
      <c r="M23" s="35">
        <v>332</v>
      </c>
      <c r="N23" s="36"/>
      <c r="O23" s="1"/>
      <c r="P23" s="1"/>
    </row>
    <row r="24" spans="1:20" x14ac:dyDescent="0.25">
      <c r="A24" s="2">
        <v>3</v>
      </c>
      <c r="B24" s="29">
        <v>103</v>
      </c>
      <c r="C24" s="30">
        <v>113</v>
      </c>
      <c r="D24" s="30">
        <v>123</v>
      </c>
      <c r="E24" s="30">
        <v>133</v>
      </c>
      <c r="F24" s="29">
        <v>203</v>
      </c>
      <c r="G24" s="30">
        <v>213</v>
      </c>
      <c r="H24" s="30">
        <v>223</v>
      </c>
      <c r="I24" s="30">
        <v>233</v>
      </c>
      <c r="J24" s="29">
        <v>303</v>
      </c>
      <c r="K24" s="30">
        <v>313</v>
      </c>
      <c r="L24" s="30">
        <v>323</v>
      </c>
      <c r="M24" s="35">
        <v>333</v>
      </c>
      <c r="N24" s="36"/>
      <c r="O24" s="1"/>
      <c r="P24" s="1"/>
    </row>
    <row r="25" spans="1:20" x14ac:dyDescent="0.25">
      <c r="A25" s="2"/>
      <c r="B25" s="3"/>
      <c r="C25" s="3"/>
    </row>
    <row r="26" spans="1:20" x14ac:dyDescent="0.25">
      <c r="A26" s="2"/>
      <c r="B26" s="3"/>
      <c r="C26" s="3"/>
    </row>
    <row r="27" spans="1:20" x14ac:dyDescent="0.25">
      <c r="A27" s="5" t="s">
        <v>45</v>
      </c>
      <c r="B27" s="28" t="s">
        <v>41</v>
      </c>
      <c r="C27" s="28" t="s">
        <v>42</v>
      </c>
      <c r="D27" s="28" t="s">
        <v>43</v>
      </c>
      <c r="E27" s="37" t="s">
        <v>44</v>
      </c>
      <c r="F27" s="39" t="s">
        <v>51</v>
      </c>
      <c r="H27" s="5" t="s">
        <v>45</v>
      </c>
      <c r="I27" s="28" t="s">
        <v>41</v>
      </c>
      <c r="J27" s="28" t="s">
        <v>42</v>
      </c>
      <c r="K27" s="28" t="s">
        <v>43</v>
      </c>
      <c r="L27" s="37" t="s">
        <v>44</v>
      </c>
      <c r="M27" s="39" t="s">
        <v>51</v>
      </c>
      <c r="O27" s="5" t="s">
        <v>45</v>
      </c>
      <c r="P27" s="28" t="s">
        <v>41</v>
      </c>
      <c r="Q27" s="28" t="s">
        <v>42</v>
      </c>
      <c r="R27" s="28" t="s">
        <v>43</v>
      </c>
      <c r="S27" s="37" t="s">
        <v>44</v>
      </c>
      <c r="T27" s="39" t="s">
        <v>51</v>
      </c>
    </row>
    <row r="28" spans="1:20" x14ac:dyDescent="0.25">
      <c r="A28" s="31">
        <v>1</v>
      </c>
      <c r="B28" s="25"/>
      <c r="C28" s="25"/>
      <c r="D28">
        <v>1</v>
      </c>
      <c r="E28" s="43">
        <v>1</v>
      </c>
      <c r="F28" s="38">
        <f>E28</f>
        <v>1</v>
      </c>
      <c r="H28" s="31">
        <v>2</v>
      </c>
      <c r="I28" s="25"/>
      <c r="J28" s="25"/>
      <c r="K28">
        <v>2</v>
      </c>
      <c r="L28" s="26">
        <f>I28+J28+K28</f>
        <v>2</v>
      </c>
      <c r="M28" s="38">
        <f>L28</f>
        <v>2</v>
      </c>
      <c r="O28" s="31">
        <v>3</v>
      </c>
      <c r="R28">
        <v>3</v>
      </c>
      <c r="S28" s="26">
        <f>P28+Q28+R28</f>
        <v>3</v>
      </c>
      <c r="T28" s="38">
        <f>S28</f>
        <v>3</v>
      </c>
    </row>
    <row r="29" spans="1:20" x14ac:dyDescent="0.25">
      <c r="A29" s="31">
        <v>10</v>
      </c>
      <c r="C29">
        <v>1</v>
      </c>
      <c r="D29">
        <v>0</v>
      </c>
      <c r="E29" s="26">
        <f>B29+C29+D29</f>
        <v>1</v>
      </c>
      <c r="F29" s="38">
        <f>E29</f>
        <v>1</v>
      </c>
      <c r="H29" s="31">
        <v>20</v>
      </c>
      <c r="J29">
        <v>2</v>
      </c>
      <c r="K29">
        <v>0</v>
      </c>
      <c r="L29" s="26">
        <f>I29+J29+K29</f>
        <v>2</v>
      </c>
      <c r="M29" s="38">
        <f>L29</f>
        <v>2</v>
      </c>
      <c r="O29" s="31">
        <v>30</v>
      </c>
      <c r="P29">
        <v>0</v>
      </c>
      <c r="Q29">
        <v>3</v>
      </c>
      <c r="R29">
        <v>0</v>
      </c>
      <c r="S29" s="26">
        <f>P29+Q29+R29</f>
        <v>3</v>
      </c>
      <c r="T29" s="38">
        <f>S29</f>
        <v>3</v>
      </c>
    </row>
    <row r="30" spans="1:20" x14ac:dyDescent="0.25">
      <c r="A30" s="31">
        <v>100</v>
      </c>
      <c r="B30">
        <v>1</v>
      </c>
      <c r="C30">
        <v>0</v>
      </c>
      <c r="D30">
        <v>0</v>
      </c>
      <c r="E30" s="26">
        <f t="shared" ref="E30:E38" si="0">B30+C30+D30</f>
        <v>1</v>
      </c>
      <c r="F30" s="38">
        <f t="shared" ref="F30:F49" si="1">E30</f>
        <v>1</v>
      </c>
      <c r="H30" s="31">
        <v>200</v>
      </c>
      <c r="I30">
        <v>2</v>
      </c>
      <c r="J30">
        <v>0</v>
      </c>
      <c r="K30">
        <v>0</v>
      </c>
      <c r="L30" s="26">
        <f t="shared" ref="L30:L38" si="2">I30+J30+K30</f>
        <v>2</v>
      </c>
      <c r="M30" s="38">
        <f t="shared" ref="M30:M48" si="3">L30</f>
        <v>2</v>
      </c>
      <c r="O30" s="31">
        <v>300</v>
      </c>
      <c r="P30">
        <v>3</v>
      </c>
      <c r="Q30">
        <v>0</v>
      </c>
      <c r="R30">
        <v>0</v>
      </c>
      <c r="S30" s="26">
        <f t="shared" ref="S30:S38" si="4">P30+Q30+R30</f>
        <v>3</v>
      </c>
      <c r="T30" s="38">
        <f t="shared" ref="T30:T48" si="5">S30</f>
        <v>3</v>
      </c>
    </row>
    <row r="31" spans="1:20" x14ac:dyDescent="0.25">
      <c r="A31" s="31">
        <v>101</v>
      </c>
      <c r="B31">
        <v>1</v>
      </c>
      <c r="C31">
        <v>0</v>
      </c>
      <c r="D31">
        <v>1</v>
      </c>
      <c r="E31" s="26">
        <f t="shared" si="0"/>
        <v>2</v>
      </c>
      <c r="F31" s="38">
        <f t="shared" si="1"/>
        <v>2</v>
      </c>
      <c r="H31" s="31">
        <v>201</v>
      </c>
      <c r="I31">
        <v>2</v>
      </c>
      <c r="J31">
        <v>0</v>
      </c>
      <c r="K31">
        <v>1</v>
      </c>
      <c r="L31" s="26">
        <f t="shared" si="2"/>
        <v>3</v>
      </c>
      <c r="M31" s="38">
        <f t="shared" si="3"/>
        <v>3</v>
      </c>
      <c r="O31" s="31">
        <v>301</v>
      </c>
      <c r="P31">
        <v>3</v>
      </c>
      <c r="Q31">
        <v>0</v>
      </c>
      <c r="R31">
        <v>1</v>
      </c>
      <c r="S31" s="26">
        <f t="shared" si="4"/>
        <v>4</v>
      </c>
      <c r="T31" s="38">
        <f t="shared" si="5"/>
        <v>4</v>
      </c>
    </row>
    <row r="32" spans="1:20" x14ac:dyDescent="0.25">
      <c r="A32" s="31">
        <v>102</v>
      </c>
      <c r="B32">
        <v>1</v>
      </c>
      <c r="C32">
        <v>0</v>
      </c>
      <c r="D32">
        <v>2</v>
      </c>
      <c r="E32" s="26">
        <f t="shared" si="0"/>
        <v>3</v>
      </c>
      <c r="F32" s="38">
        <f t="shared" si="1"/>
        <v>3</v>
      </c>
      <c r="H32" s="31">
        <v>202</v>
      </c>
      <c r="I32">
        <v>2</v>
      </c>
      <c r="J32">
        <v>0</v>
      </c>
      <c r="K32">
        <v>2</v>
      </c>
      <c r="L32" s="26">
        <f t="shared" si="2"/>
        <v>4</v>
      </c>
      <c r="M32" s="38">
        <f t="shared" si="3"/>
        <v>4</v>
      </c>
      <c r="O32" s="31">
        <v>302</v>
      </c>
      <c r="P32">
        <v>3</v>
      </c>
      <c r="Q32">
        <v>0</v>
      </c>
      <c r="R32">
        <v>2</v>
      </c>
      <c r="S32" s="26">
        <f t="shared" si="4"/>
        <v>5</v>
      </c>
      <c r="T32" s="38">
        <f t="shared" si="5"/>
        <v>5</v>
      </c>
    </row>
    <row r="33" spans="1:20" x14ac:dyDescent="0.25">
      <c r="A33" s="31">
        <v>103</v>
      </c>
      <c r="B33">
        <v>1</v>
      </c>
      <c r="C33">
        <v>0</v>
      </c>
      <c r="D33">
        <v>3</v>
      </c>
      <c r="E33" s="26">
        <f t="shared" si="0"/>
        <v>4</v>
      </c>
      <c r="F33" s="38">
        <f t="shared" si="1"/>
        <v>4</v>
      </c>
      <c r="H33" s="31">
        <v>203</v>
      </c>
      <c r="I33">
        <v>2</v>
      </c>
      <c r="J33">
        <v>0</v>
      </c>
      <c r="K33">
        <v>3</v>
      </c>
      <c r="L33" s="26">
        <f t="shared" si="2"/>
        <v>5</v>
      </c>
      <c r="M33" s="38">
        <f t="shared" si="3"/>
        <v>5</v>
      </c>
      <c r="O33" s="31">
        <v>303</v>
      </c>
      <c r="P33">
        <v>3</v>
      </c>
      <c r="Q33">
        <v>0</v>
      </c>
      <c r="R33">
        <v>3</v>
      </c>
      <c r="S33" s="26">
        <f t="shared" si="4"/>
        <v>6</v>
      </c>
      <c r="T33" s="38">
        <f t="shared" si="5"/>
        <v>6</v>
      </c>
    </row>
    <row r="34" spans="1:20" x14ac:dyDescent="0.25">
      <c r="A34" s="4">
        <v>11</v>
      </c>
      <c r="C34">
        <v>1</v>
      </c>
      <c r="D34">
        <v>1</v>
      </c>
      <c r="E34" s="26">
        <f t="shared" si="0"/>
        <v>2</v>
      </c>
      <c r="F34" s="38">
        <f t="shared" si="1"/>
        <v>2</v>
      </c>
      <c r="H34" s="4">
        <v>21</v>
      </c>
      <c r="J34">
        <v>2</v>
      </c>
      <c r="K34">
        <v>1</v>
      </c>
      <c r="L34" s="26">
        <f t="shared" si="2"/>
        <v>3</v>
      </c>
      <c r="M34" s="38">
        <f t="shared" si="3"/>
        <v>3</v>
      </c>
      <c r="O34" s="4">
        <v>31</v>
      </c>
      <c r="P34">
        <v>0</v>
      </c>
      <c r="Q34">
        <v>3</v>
      </c>
      <c r="R34">
        <v>1</v>
      </c>
      <c r="S34" s="26">
        <f t="shared" si="4"/>
        <v>4</v>
      </c>
      <c r="T34" s="38">
        <f t="shared" si="5"/>
        <v>4</v>
      </c>
    </row>
    <row r="35" spans="1:20" x14ac:dyDescent="0.25">
      <c r="A35" s="4">
        <v>110</v>
      </c>
      <c r="B35">
        <v>1</v>
      </c>
      <c r="C35">
        <v>1</v>
      </c>
      <c r="D35">
        <v>0</v>
      </c>
      <c r="E35" s="26">
        <f t="shared" si="0"/>
        <v>2</v>
      </c>
      <c r="F35" s="38">
        <f t="shared" si="1"/>
        <v>2</v>
      </c>
      <c r="H35" s="4">
        <v>210</v>
      </c>
      <c r="I35">
        <v>2</v>
      </c>
      <c r="J35">
        <v>1</v>
      </c>
      <c r="K35">
        <v>0</v>
      </c>
      <c r="L35" s="26">
        <f t="shared" si="2"/>
        <v>3</v>
      </c>
      <c r="M35" s="38">
        <f t="shared" si="3"/>
        <v>3</v>
      </c>
      <c r="O35" s="4">
        <v>310</v>
      </c>
      <c r="P35">
        <v>3</v>
      </c>
      <c r="Q35">
        <v>1</v>
      </c>
      <c r="R35">
        <v>0</v>
      </c>
      <c r="S35" s="26">
        <f t="shared" si="4"/>
        <v>4</v>
      </c>
      <c r="T35" s="38">
        <f t="shared" si="5"/>
        <v>4</v>
      </c>
    </row>
    <row r="36" spans="1:20" x14ac:dyDescent="0.25">
      <c r="A36" s="31">
        <v>111</v>
      </c>
      <c r="B36">
        <v>1</v>
      </c>
      <c r="C36">
        <v>1</v>
      </c>
      <c r="D36">
        <v>1</v>
      </c>
      <c r="E36" s="26">
        <f t="shared" si="0"/>
        <v>3</v>
      </c>
      <c r="F36" s="38">
        <f t="shared" si="1"/>
        <v>3</v>
      </c>
      <c r="H36" s="31">
        <v>211</v>
      </c>
      <c r="I36">
        <v>2</v>
      </c>
      <c r="J36">
        <v>1</v>
      </c>
      <c r="K36">
        <v>1</v>
      </c>
      <c r="L36" s="26">
        <f t="shared" si="2"/>
        <v>4</v>
      </c>
      <c r="M36" s="38">
        <f t="shared" si="3"/>
        <v>4</v>
      </c>
      <c r="O36" s="31">
        <v>311</v>
      </c>
      <c r="P36">
        <v>3</v>
      </c>
      <c r="Q36">
        <v>1</v>
      </c>
      <c r="R36">
        <v>1</v>
      </c>
      <c r="S36" s="26">
        <f t="shared" si="4"/>
        <v>5</v>
      </c>
      <c r="T36" s="38">
        <f t="shared" si="5"/>
        <v>5</v>
      </c>
    </row>
    <row r="37" spans="1:20" x14ac:dyDescent="0.25">
      <c r="A37" s="31">
        <v>112</v>
      </c>
      <c r="B37">
        <v>1</v>
      </c>
      <c r="C37">
        <v>1</v>
      </c>
      <c r="D37">
        <v>2</v>
      </c>
      <c r="E37" s="26">
        <f t="shared" si="0"/>
        <v>4</v>
      </c>
      <c r="F37" s="38">
        <f t="shared" si="1"/>
        <v>4</v>
      </c>
      <c r="H37" s="31">
        <v>212</v>
      </c>
      <c r="I37">
        <v>2</v>
      </c>
      <c r="J37">
        <v>1</v>
      </c>
      <c r="K37">
        <v>2</v>
      </c>
      <c r="L37" s="26">
        <f t="shared" si="2"/>
        <v>5</v>
      </c>
      <c r="M37" s="38">
        <f t="shared" si="3"/>
        <v>5</v>
      </c>
      <c r="O37" s="31">
        <v>312</v>
      </c>
      <c r="P37">
        <v>3</v>
      </c>
      <c r="Q37">
        <v>1</v>
      </c>
      <c r="R37">
        <v>2</v>
      </c>
      <c r="S37" s="26">
        <f t="shared" si="4"/>
        <v>6</v>
      </c>
      <c r="T37" s="38">
        <f t="shared" si="5"/>
        <v>6</v>
      </c>
    </row>
    <row r="38" spans="1:20" x14ac:dyDescent="0.25">
      <c r="A38" s="31">
        <v>113</v>
      </c>
      <c r="B38">
        <v>1</v>
      </c>
      <c r="C38">
        <v>1</v>
      </c>
      <c r="D38">
        <v>3</v>
      </c>
      <c r="E38" s="26">
        <f t="shared" si="0"/>
        <v>5</v>
      </c>
      <c r="F38" s="38">
        <f t="shared" si="1"/>
        <v>5</v>
      </c>
      <c r="H38" s="31">
        <v>213</v>
      </c>
      <c r="I38">
        <v>2</v>
      </c>
      <c r="J38">
        <v>1</v>
      </c>
      <c r="K38">
        <v>3</v>
      </c>
      <c r="L38" s="26">
        <f t="shared" si="2"/>
        <v>6</v>
      </c>
      <c r="M38" s="38">
        <f t="shared" si="3"/>
        <v>6</v>
      </c>
      <c r="O38" s="31">
        <v>313</v>
      </c>
      <c r="P38">
        <v>3</v>
      </c>
      <c r="Q38">
        <v>1</v>
      </c>
      <c r="R38">
        <v>3</v>
      </c>
      <c r="S38" s="26">
        <f t="shared" si="4"/>
        <v>7</v>
      </c>
      <c r="T38" s="38">
        <f t="shared" si="5"/>
        <v>7</v>
      </c>
    </row>
    <row r="39" spans="1:20" x14ac:dyDescent="0.25">
      <c r="A39" s="4">
        <v>12</v>
      </c>
      <c r="C39">
        <v>1</v>
      </c>
      <c r="D39">
        <v>2</v>
      </c>
      <c r="E39" s="26">
        <f>B39+C39+D39</f>
        <v>3</v>
      </c>
      <c r="F39" s="38">
        <f t="shared" si="1"/>
        <v>3</v>
      </c>
      <c r="H39" s="4">
        <v>22</v>
      </c>
      <c r="J39">
        <v>2</v>
      </c>
      <c r="K39">
        <v>2</v>
      </c>
      <c r="L39" s="26">
        <f>I39+J39+K39</f>
        <v>4</v>
      </c>
      <c r="M39" s="38">
        <f t="shared" si="3"/>
        <v>4</v>
      </c>
      <c r="O39" s="4">
        <v>32</v>
      </c>
      <c r="Q39">
        <v>3</v>
      </c>
      <c r="R39">
        <v>2</v>
      </c>
      <c r="S39" s="26">
        <f>P39+Q39+R39</f>
        <v>5</v>
      </c>
      <c r="T39" s="38">
        <f t="shared" si="5"/>
        <v>5</v>
      </c>
    </row>
    <row r="40" spans="1:20" x14ac:dyDescent="0.25">
      <c r="A40" s="4">
        <v>120</v>
      </c>
      <c r="B40">
        <v>1</v>
      </c>
      <c r="C40">
        <v>2</v>
      </c>
      <c r="D40">
        <v>0</v>
      </c>
      <c r="E40" s="26">
        <f t="shared" ref="E40:E48" si="6">B40+C40+D40</f>
        <v>3</v>
      </c>
      <c r="F40" s="38">
        <f t="shared" si="1"/>
        <v>3</v>
      </c>
      <c r="H40" s="4">
        <v>220</v>
      </c>
      <c r="I40">
        <v>2</v>
      </c>
      <c r="J40">
        <v>2</v>
      </c>
      <c r="K40">
        <v>0</v>
      </c>
      <c r="L40" s="26">
        <f t="shared" ref="L40:L48" si="7">I40+J40+K40</f>
        <v>4</v>
      </c>
      <c r="M40" s="38">
        <f t="shared" si="3"/>
        <v>4</v>
      </c>
      <c r="O40" s="4">
        <v>320</v>
      </c>
      <c r="P40">
        <v>3</v>
      </c>
      <c r="Q40">
        <v>2</v>
      </c>
      <c r="R40">
        <v>0</v>
      </c>
      <c r="S40" s="26">
        <f t="shared" ref="S40:S48" si="8">P40+Q40+R40</f>
        <v>5</v>
      </c>
      <c r="T40" s="38">
        <f t="shared" si="5"/>
        <v>5</v>
      </c>
    </row>
    <row r="41" spans="1:20" x14ac:dyDescent="0.25">
      <c r="A41" s="31">
        <v>121</v>
      </c>
      <c r="B41">
        <v>1</v>
      </c>
      <c r="C41">
        <v>2</v>
      </c>
      <c r="D41">
        <v>1</v>
      </c>
      <c r="E41" s="26">
        <f t="shared" si="6"/>
        <v>4</v>
      </c>
      <c r="F41" s="38">
        <f t="shared" si="1"/>
        <v>4</v>
      </c>
      <c r="H41" s="31">
        <v>221</v>
      </c>
      <c r="I41">
        <v>2</v>
      </c>
      <c r="J41">
        <v>2</v>
      </c>
      <c r="K41">
        <v>1</v>
      </c>
      <c r="L41" s="26">
        <f t="shared" si="7"/>
        <v>5</v>
      </c>
      <c r="M41" s="38">
        <f t="shared" si="3"/>
        <v>5</v>
      </c>
      <c r="O41" s="31">
        <v>321</v>
      </c>
      <c r="P41">
        <v>3</v>
      </c>
      <c r="Q41">
        <v>2</v>
      </c>
      <c r="R41">
        <v>1</v>
      </c>
      <c r="S41" s="26">
        <f t="shared" si="8"/>
        <v>6</v>
      </c>
      <c r="T41" s="38">
        <f t="shared" si="5"/>
        <v>6</v>
      </c>
    </row>
    <row r="42" spans="1:20" x14ac:dyDescent="0.25">
      <c r="A42" s="31">
        <v>122</v>
      </c>
      <c r="B42">
        <v>1</v>
      </c>
      <c r="C42">
        <v>2</v>
      </c>
      <c r="D42">
        <v>2</v>
      </c>
      <c r="E42" s="26">
        <f t="shared" si="6"/>
        <v>5</v>
      </c>
      <c r="F42" s="38">
        <f t="shared" si="1"/>
        <v>5</v>
      </c>
      <c r="H42" s="31">
        <v>222</v>
      </c>
      <c r="I42">
        <v>2</v>
      </c>
      <c r="J42">
        <v>2</v>
      </c>
      <c r="K42">
        <v>2</v>
      </c>
      <c r="L42" s="26">
        <f t="shared" si="7"/>
        <v>6</v>
      </c>
      <c r="M42" s="38">
        <f t="shared" si="3"/>
        <v>6</v>
      </c>
      <c r="O42" s="31">
        <v>322</v>
      </c>
      <c r="P42">
        <v>3</v>
      </c>
      <c r="Q42">
        <v>2</v>
      </c>
      <c r="R42">
        <v>2</v>
      </c>
      <c r="S42" s="26">
        <f t="shared" si="8"/>
        <v>7</v>
      </c>
      <c r="T42" s="38">
        <f t="shared" si="5"/>
        <v>7</v>
      </c>
    </row>
    <row r="43" spans="1:20" x14ac:dyDescent="0.25">
      <c r="A43" s="31">
        <v>123</v>
      </c>
      <c r="B43">
        <v>1</v>
      </c>
      <c r="C43">
        <v>2</v>
      </c>
      <c r="D43">
        <v>3</v>
      </c>
      <c r="E43" s="26">
        <f t="shared" si="6"/>
        <v>6</v>
      </c>
      <c r="F43" s="38">
        <f t="shared" si="1"/>
        <v>6</v>
      </c>
      <c r="H43" s="31">
        <v>223</v>
      </c>
      <c r="I43">
        <v>2</v>
      </c>
      <c r="J43">
        <v>2</v>
      </c>
      <c r="K43">
        <v>3</v>
      </c>
      <c r="L43" s="26">
        <f t="shared" si="7"/>
        <v>7</v>
      </c>
      <c r="M43" s="38">
        <f t="shared" si="3"/>
        <v>7</v>
      </c>
      <c r="O43" s="31">
        <v>323</v>
      </c>
      <c r="P43">
        <v>3</v>
      </c>
      <c r="Q43">
        <v>2</v>
      </c>
      <c r="R43">
        <v>3</v>
      </c>
      <c r="S43" s="26">
        <f t="shared" si="8"/>
        <v>8</v>
      </c>
      <c r="T43" s="38">
        <f t="shared" si="5"/>
        <v>8</v>
      </c>
    </row>
    <row r="44" spans="1:20" x14ac:dyDescent="0.25">
      <c r="A44" s="4">
        <v>13</v>
      </c>
      <c r="C44">
        <v>1</v>
      </c>
      <c r="D44">
        <v>3</v>
      </c>
      <c r="E44" s="26">
        <f t="shared" si="6"/>
        <v>4</v>
      </c>
      <c r="F44" s="38">
        <f t="shared" si="1"/>
        <v>4</v>
      </c>
      <c r="H44" s="4">
        <v>23</v>
      </c>
      <c r="J44">
        <v>2</v>
      </c>
      <c r="K44">
        <v>3</v>
      </c>
      <c r="L44" s="26">
        <f t="shared" si="7"/>
        <v>5</v>
      </c>
      <c r="M44" s="38">
        <f t="shared" si="3"/>
        <v>5</v>
      </c>
      <c r="O44" s="4">
        <v>33</v>
      </c>
      <c r="Q44">
        <v>3</v>
      </c>
      <c r="R44">
        <v>3</v>
      </c>
      <c r="S44" s="26">
        <f t="shared" si="8"/>
        <v>6</v>
      </c>
      <c r="T44" s="38">
        <f t="shared" si="5"/>
        <v>6</v>
      </c>
    </row>
    <row r="45" spans="1:20" x14ac:dyDescent="0.25">
      <c r="A45" s="4">
        <v>130</v>
      </c>
      <c r="B45">
        <v>1</v>
      </c>
      <c r="C45">
        <v>3</v>
      </c>
      <c r="D45">
        <v>0</v>
      </c>
      <c r="E45" s="26">
        <f t="shared" si="6"/>
        <v>4</v>
      </c>
      <c r="F45" s="38">
        <f t="shared" si="1"/>
        <v>4</v>
      </c>
      <c r="H45" s="4">
        <v>230</v>
      </c>
      <c r="I45">
        <v>2</v>
      </c>
      <c r="J45">
        <v>3</v>
      </c>
      <c r="K45">
        <v>0</v>
      </c>
      <c r="L45" s="26">
        <f t="shared" si="7"/>
        <v>5</v>
      </c>
      <c r="M45" s="38">
        <f t="shared" si="3"/>
        <v>5</v>
      </c>
      <c r="O45" s="4">
        <v>330</v>
      </c>
      <c r="P45">
        <v>3</v>
      </c>
      <c r="Q45">
        <v>3</v>
      </c>
      <c r="R45">
        <v>0</v>
      </c>
      <c r="S45" s="26">
        <f t="shared" si="8"/>
        <v>6</v>
      </c>
      <c r="T45" s="38">
        <f t="shared" si="5"/>
        <v>6</v>
      </c>
    </row>
    <row r="46" spans="1:20" x14ac:dyDescent="0.25">
      <c r="A46" s="31">
        <v>131</v>
      </c>
      <c r="B46">
        <v>1</v>
      </c>
      <c r="C46">
        <v>3</v>
      </c>
      <c r="D46">
        <v>1</v>
      </c>
      <c r="E46" s="26">
        <f t="shared" si="6"/>
        <v>5</v>
      </c>
      <c r="F46" s="38">
        <f t="shared" si="1"/>
        <v>5</v>
      </c>
      <c r="H46" s="31">
        <v>231</v>
      </c>
      <c r="I46">
        <v>2</v>
      </c>
      <c r="J46">
        <v>3</v>
      </c>
      <c r="K46">
        <v>1</v>
      </c>
      <c r="L46" s="26">
        <f t="shared" si="7"/>
        <v>6</v>
      </c>
      <c r="M46" s="38">
        <f t="shared" si="3"/>
        <v>6</v>
      </c>
      <c r="O46" s="31">
        <v>331</v>
      </c>
      <c r="P46">
        <v>3</v>
      </c>
      <c r="Q46">
        <v>3</v>
      </c>
      <c r="R46">
        <v>1</v>
      </c>
      <c r="S46" s="26">
        <f t="shared" si="8"/>
        <v>7</v>
      </c>
      <c r="T46" s="38">
        <f t="shared" si="5"/>
        <v>7</v>
      </c>
    </row>
    <row r="47" spans="1:20" x14ac:dyDescent="0.25">
      <c r="A47" s="31">
        <v>132</v>
      </c>
      <c r="B47">
        <v>1</v>
      </c>
      <c r="C47">
        <v>3</v>
      </c>
      <c r="D47">
        <v>2</v>
      </c>
      <c r="E47" s="26">
        <f t="shared" si="6"/>
        <v>6</v>
      </c>
      <c r="F47" s="38">
        <f t="shared" si="1"/>
        <v>6</v>
      </c>
      <c r="H47" s="31">
        <v>232</v>
      </c>
      <c r="I47">
        <v>2</v>
      </c>
      <c r="J47">
        <v>3</v>
      </c>
      <c r="K47">
        <v>2</v>
      </c>
      <c r="L47" s="26">
        <f t="shared" si="7"/>
        <v>7</v>
      </c>
      <c r="M47" s="38">
        <f t="shared" si="3"/>
        <v>7</v>
      </c>
      <c r="O47" s="31">
        <v>332</v>
      </c>
      <c r="P47">
        <v>3</v>
      </c>
      <c r="Q47">
        <v>3</v>
      </c>
      <c r="R47">
        <v>2</v>
      </c>
      <c r="S47" s="26">
        <f t="shared" si="8"/>
        <v>8</v>
      </c>
      <c r="T47" s="38">
        <f t="shared" si="5"/>
        <v>8</v>
      </c>
    </row>
    <row r="48" spans="1:20" x14ac:dyDescent="0.25">
      <c r="A48" s="31">
        <v>133</v>
      </c>
      <c r="B48">
        <v>1</v>
      </c>
      <c r="C48">
        <v>3</v>
      </c>
      <c r="D48">
        <v>3</v>
      </c>
      <c r="E48" s="26">
        <f t="shared" si="6"/>
        <v>7</v>
      </c>
      <c r="F48" s="38">
        <f t="shared" si="1"/>
        <v>7</v>
      </c>
      <c r="H48" s="31">
        <v>233</v>
      </c>
      <c r="I48">
        <v>2</v>
      </c>
      <c r="J48">
        <v>3</v>
      </c>
      <c r="K48">
        <v>3</v>
      </c>
      <c r="L48" s="26">
        <f t="shared" si="7"/>
        <v>8</v>
      </c>
      <c r="M48" s="38">
        <f t="shared" si="3"/>
        <v>8</v>
      </c>
      <c r="O48" s="31">
        <v>333</v>
      </c>
      <c r="P48">
        <v>3</v>
      </c>
      <c r="Q48">
        <v>3</v>
      </c>
      <c r="R48">
        <v>3</v>
      </c>
      <c r="S48" s="26">
        <f t="shared" si="8"/>
        <v>9</v>
      </c>
      <c r="T48" s="38">
        <f t="shared" si="5"/>
        <v>9</v>
      </c>
    </row>
    <row r="49" spans="1:20" x14ac:dyDescent="0.25">
      <c r="A49" s="31">
        <v>0</v>
      </c>
      <c r="D49">
        <v>0</v>
      </c>
      <c r="E49" s="26">
        <v>0</v>
      </c>
      <c r="F49" s="38">
        <f t="shared" si="1"/>
        <v>0</v>
      </c>
    </row>
    <row r="50" spans="1:20" x14ac:dyDescent="0.25">
      <c r="A50" s="1"/>
      <c r="E50" s="25"/>
      <c r="K50" t="s">
        <v>52</v>
      </c>
      <c r="L50" s="28">
        <v>1</v>
      </c>
    </row>
    <row r="51" spans="1:20" x14ac:dyDescent="0.25">
      <c r="A51" s="1"/>
      <c r="E51" s="25"/>
      <c r="K51" t="s">
        <v>54</v>
      </c>
      <c r="L51" s="1" t="s">
        <v>7</v>
      </c>
      <c r="M51" t="s">
        <v>55</v>
      </c>
    </row>
    <row r="52" spans="1:20" x14ac:dyDescent="0.25">
      <c r="A52" s="1"/>
      <c r="E52" s="25"/>
      <c r="K52" t="s">
        <v>56</v>
      </c>
      <c r="L52" s="1" t="s">
        <v>7</v>
      </c>
      <c r="M52" t="s">
        <v>57</v>
      </c>
    </row>
    <row r="53" spans="1:20" x14ac:dyDescent="0.25">
      <c r="B53" s="8"/>
      <c r="C53" s="11">
        <v>2</v>
      </c>
      <c r="D53" s="11">
        <v>3</v>
      </c>
      <c r="E53" s="11">
        <v>0</v>
      </c>
      <c r="G53" s="16" t="s">
        <v>29</v>
      </c>
      <c r="K53" s="8" t="s">
        <v>53</v>
      </c>
      <c r="L53" s="11" t="s">
        <v>58</v>
      </c>
      <c r="N53" s="8" t="s">
        <v>53</v>
      </c>
      <c r="O53" s="11" t="s">
        <v>58</v>
      </c>
      <c r="Q53" s="8" t="s">
        <v>53</v>
      </c>
      <c r="R53" s="11" t="s">
        <v>58</v>
      </c>
      <c r="T53" s="50" t="s">
        <v>56</v>
      </c>
    </row>
    <row r="54" spans="1:20" x14ac:dyDescent="0.25">
      <c r="B54" s="10">
        <v>1</v>
      </c>
      <c r="C54" s="15">
        <v>20</v>
      </c>
      <c r="D54" s="14">
        <v>11</v>
      </c>
      <c r="E54" s="14">
        <v>10</v>
      </c>
      <c r="G54" s="44" t="e">
        <f>VLOOKUP(B54,$B$81:$B$96,1,0)</f>
        <v>#N/A</v>
      </c>
      <c r="K54" s="46">
        <v>40</v>
      </c>
      <c r="L54" s="40" t="str">
        <f t="shared" ref="L54:L72" si="9">IFERROR(IF(VLOOKUP($K54,$B$54:$E$73,L$50,0)=K54,"AV","NF"),"NF")</f>
        <v>NF</v>
      </c>
      <c r="N54" s="48">
        <v>31</v>
      </c>
      <c r="O54" s="40" t="str">
        <f t="shared" ref="O54:O72" si="10">IFERROR(IF(VLOOKUP($N54,$B$54:$E$73,L$50,0)=N54,"AV","NF"),"NF")</f>
        <v>NF</v>
      </c>
      <c r="Q54" s="48">
        <v>0</v>
      </c>
      <c r="R54" s="45" t="str">
        <f t="shared" ref="R54:R72" si="11">IFERROR(IF(VLOOKUP($Q54,$B$54:$E$73,L$50,0)=Q54,"AV","NF"),"NF")</f>
        <v>AV</v>
      </c>
      <c r="T54" s="51">
        <v>40</v>
      </c>
    </row>
    <row r="55" spans="1:20" x14ac:dyDescent="0.25">
      <c r="B55" s="9">
        <v>10</v>
      </c>
      <c r="C55" s="15">
        <v>110</v>
      </c>
      <c r="D55" s="14">
        <v>101</v>
      </c>
      <c r="E55" s="14">
        <v>100</v>
      </c>
      <c r="G55" s="44">
        <f t="shared" ref="G55:G73" si="12">VLOOKUP(B55,$B$81:$B$96,1,0)</f>
        <v>10</v>
      </c>
      <c r="H55" s="19"/>
      <c r="K55" s="47">
        <v>130</v>
      </c>
      <c r="L55" s="40" t="str">
        <f t="shared" si="9"/>
        <v>NF</v>
      </c>
      <c r="N55" s="49">
        <v>121</v>
      </c>
      <c r="O55" s="40" t="str">
        <f t="shared" si="10"/>
        <v>NF</v>
      </c>
      <c r="Q55" s="49">
        <v>0</v>
      </c>
      <c r="R55" s="45" t="str">
        <f t="shared" si="11"/>
        <v>AV</v>
      </c>
      <c r="T55" s="51">
        <v>121</v>
      </c>
    </row>
    <row r="56" spans="1:20" x14ac:dyDescent="0.25">
      <c r="B56" s="10">
        <v>100</v>
      </c>
      <c r="C56" s="15">
        <v>10</v>
      </c>
      <c r="D56" s="14">
        <v>1</v>
      </c>
      <c r="E56" s="14">
        <v>0</v>
      </c>
      <c r="G56" s="44">
        <f t="shared" si="12"/>
        <v>100</v>
      </c>
      <c r="H56" s="19"/>
      <c r="K56" s="47">
        <v>220</v>
      </c>
      <c r="L56" s="40" t="str">
        <f t="shared" si="9"/>
        <v>NF</v>
      </c>
      <c r="N56" s="49">
        <v>211</v>
      </c>
      <c r="O56" s="40" t="str">
        <f t="shared" si="10"/>
        <v>NF</v>
      </c>
      <c r="Q56" s="49">
        <v>0</v>
      </c>
      <c r="R56" s="45" t="str">
        <f t="shared" si="11"/>
        <v>AV</v>
      </c>
      <c r="T56" s="51">
        <v>130</v>
      </c>
    </row>
    <row r="57" spans="1:20" x14ac:dyDescent="0.25">
      <c r="B57" s="10">
        <v>101</v>
      </c>
      <c r="C57" s="15">
        <v>20</v>
      </c>
      <c r="D57" s="14">
        <v>11</v>
      </c>
      <c r="E57" s="14">
        <v>10</v>
      </c>
      <c r="G57" s="44">
        <f t="shared" si="12"/>
        <v>101</v>
      </c>
      <c r="H57" s="19"/>
      <c r="K57" s="47">
        <v>310</v>
      </c>
      <c r="L57" s="40" t="str">
        <f t="shared" si="9"/>
        <v>NF</v>
      </c>
      <c r="N57" s="49">
        <v>301</v>
      </c>
      <c r="O57" s="40" t="str">
        <f t="shared" si="10"/>
        <v>NF</v>
      </c>
      <c r="Q57" s="49">
        <v>10</v>
      </c>
      <c r="R57" s="45" t="str">
        <f t="shared" si="11"/>
        <v>AV</v>
      </c>
      <c r="T57" s="51">
        <v>211</v>
      </c>
    </row>
    <row r="58" spans="1:20" x14ac:dyDescent="0.25">
      <c r="B58" s="10">
        <v>102</v>
      </c>
      <c r="C58" s="15">
        <v>30</v>
      </c>
      <c r="D58" s="14">
        <v>21</v>
      </c>
      <c r="E58" s="14">
        <v>20</v>
      </c>
      <c r="G58" s="44">
        <f t="shared" si="12"/>
        <v>102</v>
      </c>
      <c r="H58" s="19"/>
      <c r="K58" s="47">
        <v>10</v>
      </c>
      <c r="L58" s="45" t="str">
        <f t="shared" si="9"/>
        <v>AV</v>
      </c>
      <c r="N58" s="49">
        <v>1</v>
      </c>
      <c r="O58" s="45" t="str">
        <f t="shared" si="10"/>
        <v>AV</v>
      </c>
      <c r="Q58" s="49">
        <v>10</v>
      </c>
      <c r="R58" s="45" t="str">
        <f t="shared" si="11"/>
        <v>AV</v>
      </c>
      <c r="T58" s="51">
        <v>220</v>
      </c>
    </row>
    <row r="59" spans="1:20" x14ac:dyDescent="0.25">
      <c r="B59" s="10">
        <v>11</v>
      </c>
      <c r="C59" s="15">
        <v>120</v>
      </c>
      <c r="D59" s="14">
        <v>111</v>
      </c>
      <c r="E59" s="14">
        <v>110</v>
      </c>
      <c r="G59" s="44">
        <f t="shared" si="12"/>
        <v>11</v>
      </c>
      <c r="H59" s="19"/>
      <c r="K59" s="47">
        <v>10</v>
      </c>
      <c r="L59" s="45" t="str">
        <f t="shared" si="9"/>
        <v>AV</v>
      </c>
      <c r="N59" s="49">
        <v>1</v>
      </c>
      <c r="O59" s="45" t="str">
        <f t="shared" si="10"/>
        <v>AV</v>
      </c>
      <c r="Q59" s="49">
        <v>10</v>
      </c>
      <c r="R59" s="45" t="str">
        <f t="shared" si="11"/>
        <v>AV</v>
      </c>
      <c r="T59" s="51">
        <v>301</v>
      </c>
    </row>
    <row r="60" spans="1:20" x14ac:dyDescent="0.25">
      <c r="B60" s="10">
        <v>110</v>
      </c>
      <c r="C60" s="15">
        <v>110</v>
      </c>
      <c r="D60" s="14">
        <v>101</v>
      </c>
      <c r="E60" s="14">
        <v>100</v>
      </c>
      <c r="G60" s="44">
        <f t="shared" si="12"/>
        <v>110</v>
      </c>
      <c r="H60" s="19"/>
      <c r="K60" s="47">
        <v>10</v>
      </c>
      <c r="L60" s="45" t="str">
        <f t="shared" si="9"/>
        <v>AV</v>
      </c>
      <c r="N60" s="49">
        <v>1</v>
      </c>
      <c r="O60" s="45" t="str">
        <f t="shared" si="10"/>
        <v>AV</v>
      </c>
      <c r="Q60" s="49">
        <v>20</v>
      </c>
      <c r="R60" s="45" t="str">
        <f t="shared" si="11"/>
        <v>AV</v>
      </c>
      <c r="T60" s="51">
        <v>310</v>
      </c>
    </row>
    <row r="61" spans="1:20" x14ac:dyDescent="0.25">
      <c r="B61" s="10">
        <v>111</v>
      </c>
      <c r="C61" s="15">
        <v>120</v>
      </c>
      <c r="D61" s="14">
        <v>111</v>
      </c>
      <c r="E61" s="14">
        <v>110</v>
      </c>
      <c r="G61" s="44">
        <f t="shared" si="12"/>
        <v>111</v>
      </c>
      <c r="H61" s="19"/>
      <c r="K61" s="47">
        <v>20</v>
      </c>
      <c r="L61" s="45" t="str">
        <f t="shared" si="9"/>
        <v>AV</v>
      </c>
      <c r="N61" s="49">
        <v>11</v>
      </c>
      <c r="O61" s="45" t="str">
        <f t="shared" si="10"/>
        <v>AV</v>
      </c>
      <c r="Q61" s="49">
        <v>20</v>
      </c>
      <c r="R61" s="45" t="str">
        <f t="shared" si="11"/>
        <v>AV</v>
      </c>
    </row>
    <row r="62" spans="1:20" x14ac:dyDescent="0.25">
      <c r="B62" s="9">
        <v>12</v>
      </c>
      <c r="C62" s="15">
        <v>130</v>
      </c>
      <c r="D62" s="14">
        <v>121</v>
      </c>
      <c r="E62" s="14">
        <v>120</v>
      </c>
      <c r="G62" s="44">
        <f t="shared" si="12"/>
        <v>12</v>
      </c>
      <c r="H62" s="19"/>
      <c r="K62" s="47">
        <v>20</v>
      </c>
      <c r="L62" s="45" t="str">
        <f t="shared" si="9"/>
        <v>AV</v>
      </c>
      <c r="N62" s="49">
        <v>11</v>
      </c>
      <c r="O62" s="45" t="str">
        <f t="shared" si="10"/>
        <v>AV</v>
      </c>
      <c r="Q62" s="49">
        <v>30</v>
      </c>
      <c r="R62" s="45" t="str">
        <f t="shared" si="11"/>
        <v>AV</v>
      </c>
    </row>
    <row r="63" spans="1:20" x14ac:dyDescent="0.25">
      <c r="B63" s="10">
        <v>120</v>
      </c>
      <c r="C63" s="15">
        <v>210</v>
      </c>
      <c r="D63" s="14">
        <v>201</v>
      </c>
      <c r="E63" s="14">
        <v>200</v>
      </c>
      <c r="G63" s="44">
        <f t="shared" si="12"/>
        <v>120</v>
      </c>
      <c r="K63" s="47">
        <v>20</v>
      </c>
      <c r="L63" s="45" t="str">
        <f t="shared" si="9"/>
        <v>AV</v>
      </c>
      <c r="N63" s="49">
        <v>11</v>
      </c>
      <c r="O63" s="45" t="str">
        <f t="shared" si="10"/>
        <v>AV</v>
      </c>
      <c r="Q63" s="49">
        <v>100</v>
      </c>
      <c r="R63" s="45" t="str">
        <f t="shared" si="11"/>
        <v>AV</v>
      </c>
    </row>
    <row r="64" spans="1:20" x14ac:dyDescent="0.25">
      <c r="B64" s="10">
        <v>2</v>
      </c>
      <c r="C64" s="15">
        <v>30</v>
      </c>
      <c r="D64" s="14">
        <v>21</v>
      </c>
      <c r="E64" s="14">
        <v>20</v>
      </c>
      <c r="G64" s="44" t="e">
        <f t="shared" si="12"/>
        <v>#N/A</v>
      </c>
      <c r="K64" s="47">
        <v>30</v>
      </c>
      <c r="L64" s="45" t="str">
        <f t="shared" si="9"/>
        <v>AV</v>
      </c>
      <c r="N64" s="49">
        <v>21</v>
      </c>
      <c r="O64" s="45" t="str">
        <f t="shared" si="10"/>
        <v>AV</v>
      </c>
      <c r="Q64" s="49">
        <v>100</v>
      </c>
      <c r="R64" s="45" t="str">
        <f t="shared" si="11"/>
        <v>AV</v>
      </c>
    </row>
    <row r="65" spans="2:18" x14ac:dyDescent="0.25">
      <c r="B65" s="9">
        <v>20</v>
      </c>
      <c r="C65" s="15">
        <v>210</v>
      </c>
      <c r="D65" s="14">
        <v>201</v>
      </c>
      <c r="E65" s="14">
        <v>200</v>
      </c>
      <c r="G65" s="44">
        <f t="shared" si="12"/>
        <v>20</v>
      </c>
      <c r="K65" s="47">
        <v>30</v>
      </c>
      <c r="L65" s="45" t="str">
        <f t="shared" si="9"/>
        <v>AV</v>
      </c>
      <c r="N65" s="49">
        <v>21</v>
      </c>
      <c r="O65" s="45" t="str">
        <f t="shared" si="10"/>
        <v>AV</v>
      </c>
      <c r="Q65" s="49">
        <v>100</v>
      </c>
      <c r="R65" s="45" t="str">
        <f t="shared" si="11"/>
        <v>AV</v>
      </c>
    </row>
    <row r="66" spans="2:18" x14ac:dyDescent="0.25">
      <c r="B66" s="10">
        <v>200</v>
      </c>
      <c r="C66" s="15">
        <v>10</v>
      </c>
      <c r="D66" s="14">
        <v>1</v>
      </c>
      <c r="E66" s="14">
        <v>0</v>
      </c>
      <c r="G66" s="44">
        <f t="shared" si="12"/>
        <v>200</v>
      </c>
      <c r="K66" s="47">
        <v>110</v>
      </c>
      <c r="L66" s="45" t="str">
        <f t="shared" si="9"/>
        <v>AV</v>
      </c>
      <c r="N66" s="49">
        <v>101</v>
      </c>
      <c r="O66" s="45" t="str">
        <f t="shared" si="10"/>
        <v>AV</v>
      </c>
      <c r="Q66" s="49">
        <v>110</v>
      </c>
      <c r="R66" s="45" t="str">
        <f t="shared" si="11"/>
        <v>AV</v>
      </c>
    </row>
    <row r="67" spans="2:18" x14ac:dyDescent="0.25">
      <c r="B67" s="10">
        <v>201</v>
      </c>
      <c r="C67" s="15">
        <v>20</v>
      </c>
      <c r="D67" s="14">
        <v>11</v>
      </c>
      <c r="E67" s="14">
        <v>10</v>
      </c>
      <c r="G67" s="44">
        <f t="shared" si="12"/>
        <v>201</v>
      </c>
      <c r="K67" s="47">
        <v>110</v>
      </c>
      <c r="L67" s="45" t="str">
        <f t="shared" si="9"/>
        <v>AV</v>
      </c>
      <c r="N67" s="49">
        <v>101</v>
      </c>
      <c r="O67" s="45" t="str">
        <f t="shared" si="10"/>
        <v>AV</v>
      </c>
      <c r="Q67" s="49">
        <v>110</v>
      </c>
      <c r="R67" s="45" t="str">
        <f t="shared" si="11"/>
        <v>AV</v>
      </c>
    </row>
    <row r="68" spans="2:18" x14ac:dyDescent="0.25">
      <c r="B68" s="9">
        <v>21</v>
      </c>
      <c r="C68" s="15">
        <v>220</v>
      </c>
      <c r="D68" s="14">
        <v>211</v>
      </c>
      <c r="E68" s="14">
        <v>210</v>
      </c>
      <c r="G68" s="44">
        <f t="shared" si="12"/>
        <v>21</v>
      </c>
      <c r="K68" s="47">
        <v>110</v>
      </c>
      <c r="L68" s="45" t="str">
        <f t="shared" si="9"/>
        <v>AV</v>
      </c>
      <c r="N68" s="49">
        <v>101</v>
      </c>
      <c r="O68" s="45" t="str">
        <f t="shared" si="10"/>
        <v>AV</v>
      </c>
      <c r="Q68" s="49">
        <v>120</v>
      </c>
      <c r="R68" s="45" t="str">
        <f t="shared" si="11"/>
        <v>AV</v>
      </c>
    </row>
    <row r="69" spans="2:18" x14ac:dyDescent="0.25">
      <c r="B69" s="10">
        <v>210</v>
      </c>
      <c r="C69" s="15">
        <v>110</v>
      </c>
      <c r="D69" s="14">
        <v>101</v>
      </c>
      <c r="E69" s="14">
        <v>100</v>
      </c>
      <c r="G69" s="44">
        <f t="shared" si="12"/>
        <v>210</v>
      </c>
      <c r="K69" s="47">
        <v>120</v>
      </c>
      <c r="L69" s="45" t="str">
        <f t="shared" si="9"/>
        <v>AV</v>
      </c>
      <c r="N69" s="49">
        <v>111</v>
      </c>
      <c r="O69" s="45" t="str">
        <f t="shared" si="10"/>
        <v>AV</v>
      </c>
      <c r="Q69" s="49">
        <v>200</v>
      </c>
      <c r="R69" s="45" t="str">
        <f t="shared" si="11"/>
        <v>AV</v>
      </c>
    </row>
    <row r="70" spans="2:18" x14ac:dyDescent="0.25">
      <c r="B70" s="10">
        <v>3</v>
      </c>
      <c r="C70" s="15">
        <v>40</v>
      </c>
      <c r="D70" s="14">
        <v>31</v>
      </c>
      <c r="E70" s="14">
        <v>30</v>
      </c>
      <c r="G70" s="44" t="e">
        <f t="shared" si="12"/>
        <v>#N/A</v>
      </c>
      <c r="K70" s="47">
        <v>120</v>
      </c>
      <c r="L70" s="45" t="str">
        <f t="shared" si="9"/>
        <v>AV</v>
      </c>
      <c r="N70" s="49">
        <v>111</v>
      </c>
      <c r="O70" s="45" t="str">
        <f t="shared" si="10"/>
        <v>AV</v>
      </c>
      <c r="Q70" s="49">
        <v>200</v>
      </c>
      <c r="R70" s="45" t="str">
        <f t="shared" si="11"/>
        <v>AV</v>
      </c>
    </row>
    <row r="71" spans="2:18" x14ac:dyDescent="0.25">
      <c r="B71" s="9">
        <v>30</v>
      </c>
      <c r="C71" s="15">
        <v>310</v>
      </c>
      <c r="D71" s="14">
        <v>301</v>
      </c>
      <c r="E71" s="14">
        <v>300</v>
      </c>
      <c r="G71" s="44">
        <f t="shared" si="12"/>
        <v>30</v>
      </c>
      <c r="K71" s="47">
        <v>210</v>
      </c>
      <c r="L71" s="45" t="str">
        <f t="shared" si="9"/>
        <v>AV</v>
      </c>
      <c r="N71" s="49">
        <v>201</v>
      </c>
      <c r="O71" s="45" t="str">
        <f t="shared" si="10"/>
        <v>AV</v>
      </c>
      <c r="Q71" s="49">
        <v>210</v>
      </c>
      <c r="R71" s="45" t="str">
        <f t="shared" si="11"/>
        <v>AV</v>
      </c>
    </row>
    <row r="72" spans="2:18" x14ac:dyDescent="0.25">
      <c r="B72" s="9">
        <v>0</v>
      </c>
      <c r="C72" s="15">
        <v>10</v>
      </c>
      <c r="D72" s="14">
        <v>1</v>
      </c>
      <c r="E72" s="14">
        <v>0</v>
      </c>
      <c r="G72" s="44" t="e">
        <f t="shared" si="12"/>
        <v>#N/A</v>
      </c>
      <c r="K72" s="47">
        <v>210</v>
      </c>
      <c r="L72" s="45" t="str">
        <f t="shared" si="9"/>
        <v>AV</v>
      </c>
      <c r="N72" s="49">
        <v>201</v>
      </c>
      <c r="O72" s="45" t="str">
        <f t="shared" si="10"/>
        <v>AV</v>
      </c>
      <c r="Q72" s="49">
        <v>300</v>
      </c>
      <c r="R72" s="45" t="str">
        <f t="shared" si="11"/>
        <v>AV</v>
      </c>
    </row>
    <row r="73" spans="2:18" x14ac:dyDescent="0.25">
      <c r="B73" s="10">
        <v>300</v>
      </c>
      <c r="C73" s="15">
        <v>10</v>
      </c>
      <c r="D73" s="14">
        <v>1</v>
      </c>
      <c r="E73" s="14">
        <v>0</v>
      </c>
      <c r="G73" s="44">
        <f t="shared" si="12"/>
        <v>300</v>
      </c>
    </row>
    <row r="74" spans="2:18" x14ac:dyDescent="0.25">
      <c r="I74" s="192" t="s">
        <v>1</v>
      </c>
      <c r="J74" s="192"/>
      <c r="M74" s="192">
        <v>737</v>
      </c>
      <c r="N74" s="192"/>
      <c r="Q74" s="192" t="s">
        <v>63</v>
      </c>
      <c r="R74" s="192"/>
    </row>
    <row r="75" spans="2:18" x14ac:dyDescent="0.25">
      <c r="C75" s="58" t="s">
        <v>1</v>
      </c>
      <c r="D75" s="58">
        <v>737</v>
      </c>
      <c r="E75" s="58" t="s">
        <v>61</v>
      </c>
      <c r="I75" t="s">
        <v>29</v>
      </c>
      <c r="J75" s="62">
        <v>3.78E-2</v>
      </c>
      <c r="M75" t="s">
        <v>29</v>
      </c>
      <c r="N75" s="64">
        <v>0.31929999999999997</v>
      </c>
      <c r="Q75" t="s">
        <v>29</v>
      </c>
      <c r="R75" s="65">
        <v>0.64290000000000003</v>
      </c>
    </row>
    <row r="76" spans="2:18" ht="24.75" x14ac:dyDescent="0.25">
      <c r="B76" s="8"/>
      <c r="C76" s="11">
        <v>2</v>
      </c>
      <c r="D76" s="11">
        <v>3</v>
      </c>
      <c r="E76" s="11">
        <v>0</v>
      </c>
      <c r="H76" s="59" t="s">
        <v>62</v>
      </c>
      <c r="I76" s="11">
        <v>2</v>
      </c>
      <c r="J76" s="60" t="s">
        <v>64</v>
      </c>
      <c r="L76" s="59" t="s">
        <v>62</v>
      </c>
      <c r="M76" s="11">
        <v>3</v>
      </c>
      <c r="N76" s="60" t="s">
        <v>65</v>
      </c>
      <c r="P76" s="59" t="s">
        <v>62</v>
      </c>
      <c r="Q76" s="11">
        <v>0</v>
      </c>
      <c r="R76" s="16" t="s">
        <v>66</v>
      </c>
    </row>
    <row r="77" spans="2:18" x14ac:dyDescent="0.25">
      <c r="B77" s="9">
        <v>0</v>
      </c>
      <c r="C77" s="14">
        <v>10</v>
      </c>
      <c r="D77" s="14">
        <v>1</v>
      </c>
      <c r="E77" s="14">
        <v>0</v>
      </c>
      <c r="H77" s="9">
        <v>0</v>
      </c>
      <c r="I77" s="15">
        <v>10</v>
      </c>
      <c r="J77" s="62">
        <f>$J$75</f>
        <v>3.78E-2</v>
      </c>
      <c r="L77" s="9">
        <v>0</v>
      </c>
      <c r="M77" s="14">
        <v>1</v>
      </c>
      <c r="N77" s="64">
        <f>$N$75</f>
        <v>0.31929999999999997</v>
      </c>
      <c r="P77" s="9">
        <v>0</v>
      </c>
      <c r="Q77" s="15">
        <v>0</v>
      </c>
      <c r="R77" s="65">
        <f>$R$75</f>
        <v>0.64290000000000003</v>
      </c>
    </row>
    <row r="78" spans="2:18" x14ac:dyDescent="0.25">
      <c r="B78" s="10">
        <v>1</v>
      </c>
      <c r="C78" s="14">
        <v>20</v>
      </c>
      <c r="D78" s="14">
        <v>11</v>
      </c>
      <c r="E78" s="14">
        <v>10</v>
      </c>
      <c r="H78" s="10">
        <v>1</v>
      </c>
      <c r="I78" s="15">
        <v>20</v>
      </c>
      <c r="J78" s="62">
        <f t="shared" ref="J78:J84" si="13">$J$75</f>
        <v>3.78E-2</v>
      </c>
      <c r="L78" s="10">
        <v>1</v>
      </c>
      <c r="M78" s="14">
        <v>11</v>
      </c>
      <c r="N78" s="64">
        <f t="shared" ref="N78:N79" si="14">$N$75</f>
        <v>0.31929999999999997</v>
      </c>
      <c r="P78" s="10">
        <v>1</v>
      </c>
      <c r="Q78" s="15">
        <v>10</v>
      </c>
      <c r="R78" s="65">
        <f t="shared" ref="R78:R79" si="15">$R$75</f>
        <v>0.64290000000000003</v>
      </c>
    </row>
    <row r="79" spans="2:18" x14ac:dyDescent="0.25">
      <c r="B79" s="10">
        <v>2</v>
      </c>
      <c r="C79" s="14">
        <v>30</v>
      </c>
      <c r="D79" s="14">
        <v>21</v>
      </c>
      <c r="E79" s="14">
        <v>20</v>
      </c>
      <c r="H79" s="10">
        <v>2</v>
      </c>
      <c r="I79" s="15">
        <v>30</v>
      </c>
      <c r="J79" s="62">
        <f t="shared" si="13"/>
        <v>3.78E-2</v>
      </c>
      <c r="L79" s="10">
        <v>2</v>
      </c>
      <c r="M79" s="14">
        <v>11</v>
      </c>
      <c r="N79" s="64">
        <f t="shared" si="14"/>
        <v>0.31929999999999997</v>
      </c>
      <c r="P79" s="10">
        <v>2</v>
      </c>
      <c r="Q79" s="15">
        <v>20</v>
      </c>
      <c r="R79" s="65">
        <f t="shared" si="15"/>
        <v>0.64290000000000003</v>
      </c>
    </row>
    <row r="80" spans="2:18" x14ac:dyDescent="0.25">
      <c r="B80" s="10">
        <v>3</v>
      </c>
      <c r="C80" s="41">
        <v>40</v>
      </c>
      <c r="D80" s="41">
        <v>31</v>
      </c>
      <c r="E80">
        <v>30</v>
      </c>
      <c r="H80" s="10">
        <v>3</v>
      </c>
      <c r="I80" s="41">
        <v>30</v>
      </c>
      <c r="J80" s="63">
        <v>0</v>
      </c>
      <c r="L80" s="10">
        <v>3</v>
      </c>
      <c r="M80" s="41">
        <v>30</v>
      </c>
      <c r="N80" s="63">
        <v>0</v>
      </c>
      <c r="P80" s="10">
        <v>3</v>
      </c>
      <c r="Q80" s="15">
        <v>30</v>
      </c>
      <c r="R80" s="63">
        <v>1</v>
      </c>
    </row>
    <row r="81" spans="2:18" x14ac:dyDescent="0.25">
      <c r="B81" s="9">
        <v>10</v>
      </c>
      <c r="C81" s="14">
        <v>110</v>
      </c>
      <c r="D81" s="14">
        <v>101</v>
      </c>
      <c r="E81" s="14">
        <v>100</v>
      </c>
      <c r="H81" s="9">
        <v>10</v>
      </c>
      <c r="I81" s="15">
        <v>110</v>
      </c>
      <c r="J81" s="62">
        <f t="shared" si="13"/>
        <v>3.78E-2</v>
      </c>
      <c r="L81" s="9">
        <v>10</v>
      </c>
      <c r="M81" s="14">
        <v>101</v>
      </c>
      <c r="N81" s="64">
        <f>$N$75</f>
        <v>0.31929999999999997</v>
      </c>
      <c r="P81" s="9">
        <v>10</v>
      </c>
      <c r="Q81" s="15">
        <v>100</v>
      </c>
      <c r="R81" s="65">
        <f>$R$75</f>
        <v>0.64290000000000003</v>
      </c>
    </row>
    <row r="82" spans="2:18" x14ac:dyDescent="0.25">
      <c r="B82" s="10">
        <v>11</v>
      </c>
      <c r="C82" s="15">
        <v>120</v>
      </c>
      <c r="D82" s="14">
        <v>111</v>
      </c>
      <c r="E82" s="14">
        <v>110</v>
      </c>
      <c r="H82" s="10">
        <v>11</v>
      </c>
      <c r="I82" s="15">
        <v>120</v>
      </c>
      <c r="J82" s="62">
        <f t="shared" si="13"/>
        <v>3.78E-2</v>
      </c>
      <c r="L82" s="10">
        <v>11</v>
      </c>
      <c r="M82" s="14">
        <v>111</v>
      </c>
      <c r="N82" s="64">
        <f>$N$75</f>
        <v>0.31929999999999997</v>
      </c>
      <c r="P82" s="10">
        <v>11</v>
      </c>
      <c r="Q82" s="15">
        <v>110</v>
      </c>
      <c r="R82" s="65">
        <f>$R$75</f>
        <v>0.64290000000000003</v>
      </c>
    </row>
    <row r="83" spans="2:18" x14ac:dyDescent="0.25">
      <c r="B83" s="9">
        <v>12</v>
      </c>
      <c r="C83" s="40">
        <v>130</v>
      </c>
      <c r="D83" s="42">
        <v>121</v>
      </c>
      <c r="E83" s="14">
        <v>120</v>
      </c>
      <c r="H83" s="9">
        <v>12</v>
      </c>
      <c r="I83" s="40">
        <v>120</v>
      </c>
      <c r="J83" s="63">
        <v>0</v>
      </c>
      <c r="L83" s="9">
        <v>12</v>
      </c>
      <c r="M83" s="42">
        <v>120</v>
      </c>
      <c r="N83" s="63">
        <v>0</v>
      </c>
      <c r="P83" s="9">
        <v>12</v>
      </c>
      <c r="Q83" s="15">
        <v>120</v>
      </c>
      <c r="R83" s="63">
        <v>1</v>
      </c>
    </row>
    <row r="84" spans="2:18" x14ac:dyDescent="0.25">
      <c r="B84" s="9">
        <v>20</v>
      </c>
      <c r="C84" s="15">
        <v>210</v>
      </c>
      <c r="D84" s="14">
        <v>201</v>
      </c>
      <c r="E84" s="14">
        <v>200</v>
      </c>
      <c r="H84" s="9">
        <v>20</v>
      </c>
      <c r="I84" s="15">
        <v>210</v>
      </c>
      <c r="J84" s="62">
        <f t="shared" si="13"/>
        <v>3.78E-2</v>
      </c>
      <c r="L84" s="9">
        <v>20</v>
      </c>
      <c r="M84" s="14">
        <v>201</v>
      </c>
      <c r="N84" s="64">
        <f>$N$75</f>
        <v>0.31929999999999997</v>
      </c>
      <c r="P84" s="9">
        <v>20</v>
      </c>
      <c r="Q84" s="15">
        <v>200</v>
      </c>
      <c r="R84" s="65">
        <f>$R$75</f>
        <v>0.64290000000000003</v>
      </c>
    </row>
    <row r="85" spans="2:18" x14ac:dyDescent="0.25">
      <c r="B85" s="9">
        <v>21</v>
      </c>
      <c r="C85" s="40">
        <v>220</v>
      </c>
      <c r="D85" s="42">
        <v>211</v>
      </c>
      <c r="E85" s="14">
        <v>210</v>
      </c>
      <c r="H85" s="9">
        <v>21</v>
      </c>
      <c r="I85" s="40">
        <v>210</v>
      </c>
      <c r="J85" s="63">
        <v>0</v>
      </c>
      <c r="L85" s="9">
        <v>21</v>
      </c>
      <c r="M85" s="42">
        <v>210</v>
      </c>
      <c r="N85" s="63">
        <v>0</v>
      </c>
      <c r="P85" s="9">
        <v>21</v>
      </c>
      <c r="Q85" s="15">
        <v>210</v>
      </c>
      <c r="R85" s="63">
        <v>1</v>
      </c>
    </row>
    <row r="86" spans="2:18" x14ac:dyDescent="0.25">
      <c r="B86" s="9">
        <v>30</v>
      </c>
      <c r="C86" s="40">
        <v>310</v>
      </c>
      <c r="D86" s="42">
        <v>301</v>
      </c>
      <c r="E86" s="14">
        <v>300</v>
      </c>
      <c r="H86" s="9">
        <v>30</v>
      </c>
      <c r="I86" s="40">
        <v>300</v>
      </c>
      <c r="J86" s="63">
        <v>0</v>
      </c>
      <c r="L86" s="9">
        <v>30</v>
      </c>
      <c r="M86" s="42">
        <v>300</v>
      </c>
      <c r="N86" s="63">
        <v>0</v>
      </c>
      <c r="P86" s="9">
        <v>30</v>
      </c>
      <c r="Q86" s="15">
        <v>300</v>
      </c>
      <c r="R86" s="63">
        <v>1</v>
      </c>
    </row>
    <row r="87" spans="2:18" x14ac:dyDescent="0.25">
      <c r="B87" s="10">
        <v>100</v>
      </c>
      <c r="C87" s="15">
        <v>10</v>
      </c>
      <c r="D87" s="14">
        <v>1</v>
      </c>
      <c r="E87" s="14">
        <v>0</v>
      </c>
      <c r="H87" s="10">
        <v>100</v>
      </c>
      <c r="I87" s="15">
        <v>10</v>
      </c>
      <c r="J87" s="62">
        <f t="shared" ref="J87:J96" si="16">$J$75</f>
        <v>3.78E-2</v>
      </c>
      <c r="L87" s="10">
        <v>100</v>
      </c>
      <c r="M87" s="14">
        <v>1</v>
      </c>
      <c r="N87" s="64">
        <f>$N$75</f>
        <v>0.31929999999999997</v>
      </c>
      <c r="P87" s="10">
        <v>100</v>
      </c>
      <c r="Q87" s="15">
        <v>0</v>
      </c>
      <c r="R87" s="65">
        <f>$R$75</f>
        <v>0.64290000000000003</v>
      </c>
    </row>
    <row r="88" spans="2:18" x14ac:dyDescent="0.25">
      <c r="B88" s="10">
        <v>101</v>
      </c>
      <c r="C88" s="15">
        <v>20</v>
      </c>
      <c r="D88" s="14">
        <v>11</v>
      </c>
      <c r="E88" s="14">
        <v>10</v>
      </c>
      <c r="H88" s="10">
        <v>101</v>
      </c>
      <c r="I88" s="15">
        <v>20</v>
      </c>
      <c r="J88" s="62">
        <f t="shared" si="16"/>
        <v>3.78E-2</v>
      </c>
      <c r="L88" s="10">
        <v>101</v>
      </c>
      <c r="M88" s="14">
        <v>11</v>
      </c>
      <c r="N88" s="64">
        <f t="shared" ref="N88:N96" si="17">$N$75</f>
        <v>0.31929999999999997</v>
      </c>
      <c r="P88" s="10">
        <v>101</v>
      </c>
      <c r="Q88" s="15">
        <v>10</v>
      </c>
      <c r="R88" s="65">
        <f t="shared" ref="R88:R96" si="18">$R$75</f>
        <v>0.64290000000000003</v>
      </c>
    </row>
    <row r="89" spans="2:18" x14ac:dyDescent="0.25">
      <c r="B89" s="10">
        <v>102</v>
      </c>
      <c r="C89" s="15">
        <v>30</v>
      </c>
      <c r="D89" s="14">
        <v>21</v>
      </c>
      <c r="E89" s="14">
        <v>20</v>
      </c>
      <c r="H89" s="10">
        <v>102</v>
      </c>
      <c r="I89" s="15">
        <v>30</v>
      </c>
      <c r="J89" s="62">
        <f t="shared" si="16"/>
        <v>3.78E-2</v>
      </c>
      <c r="L89" s="10">
        <v>102</v>
      </c>
      <c r="M89" s="14">
        <v>21</v>
      </c>
      <c r="N89" s="64">
        <f t="shared" si="17"/>
        <v>0.31929999999999997</v>
      </c>
      <c r="P89" s="10">
        <v>102</v>
      </c>
      <c r="Q89" s="15">
        <v>20</v>
      </c>
      <c r="R89" s="65">
        <f t="shared" si="18"/>
        <v>0.64290000000000003</v>
      </c>
    </row>
    <row r="90" spans="2:18" x14ac:dyDescent="0.25">
      <c r="B90" s="10">
        <v>110</v>
      </c>
      <c r="C90" s="15">
        <v>110</v>
      </c>
      <c r="D90" s="14">
        <v>101</v>
      </c>
      <c r="E90" s="14">
        <v>100</v>
      </c>
      <c r="H90" s="10">
        <v>110</v>
      </c>
      <c r="I90" s="15">
        <v>110</v>
      </c>
      <c r="J90" s="62">
        <f t="shared" si="16"/>
        <v>3.78E-2</v>
      </c>
      <c r="L90" s="10">
        <v>110</v>
      </c>
      <c r="M90" s="14">
        <v>101</v>
      </c>
      <c r="N90" s="64">
        <f t="shared" si="17"/>
        <v>0.31929999999999997</v>
      </c>
      <c r="P90" s="10">
        <v>110</v>
      </c>
      <c r="Q90" s="15">
        <v>100</v>
      </c>
      <c r="R90" s="65">
        <f t="shared" si="18"/>
        <v>0.64290000000000003</v>
      </c>
    </row>
    <row r="91" spans="2:18" x14ac:dyDescent="0.25">
      <c r="B91" s="10">
        <v>111</v>
      </c>
      <c r="C91" s="15">
        <v>120</v>
      </c>
      <c r="D91" s="14">
        <v>111</v>
      </c>
      <c r="E91" s="14">
        <v>110</v>
      </c>
      <c r="H91" s="10">
        <v>111</v>
      </c>
      <c r="I91" s="15">
        <v>120</v>
      </c>
      <c r="J91" s="62">
        <f t="shared" si="16"/>
        <v>3.78E-2</v>
      </c>
      <c r="L91" s="10">
        <v>111</v>
      </c>
      <c r="M91" s="14">
        <v>111</v>
      </c>
      <c r="N91" s="64">
        <f t="shared" si="17"/>
        <v>0.31929999999999997</v>
      </c>
      <c r="P91" s="10">
        <v>111</v>
      </c>
      <c r="Q91" s="15">
        <v>110</v>
      </c>
      <c r="R91" s="65">
        <f t="shared" si="18"/>
        <v>0.64290000000000003</v>
      </c>
    </row>
    <row r="92" spans="2:18" x14ac:dyDescent="0.25">
      <c r="B92" s="10">
        <v>120</v>
      </c>
      <c r="C92" s="15">
        <v>210</v>
      </c>
      <c r="D92" s="14">
        <v>201</v>
      </c>
      <c r="E92" s="14">
        <v>200</v>
      </c>
      <c r="H92" s="10">
        <v>120</v>
      </c>
      <c r="I92" s="15">
        <v>210</v>
      </c>
      <c r="J92" s="62">
        <f t="shared" si="16"/>
        <v>3.78E-2</v>
      </c>
      <c r="L92" s="10">
        <v>120</v>
      </c>
      <c r="M92" s="14">
        <v>201</v>
      </c>
      <c r="N92" s="64">
        <f t="shared" si="17"/>
        <v>0.31929999999999997</v>
      </c>
      <c r="P92" s="10">
        <v>120</v>
      </c>
      <c r="Q92" s="15">
        <v>200</v>
      </c>
      <c r="R92" s="65">
        <f t="shared" si="18"/>
        <v>0.64290000000000003</v>
      </c>
    </row>
    <row r="93" spans="2:18" x14ac:dyDescent="0.25">
      <c r="B93" s="10">
        <v>200</v>
      </c>
      <c r="C93" s="15">
        <v>10</v>
      </c>
      <c r="D93" s="14">
        <v>1</v>
      </c>
      <c r="E93" s="14">
        <v>0</v>
      </c>
      <c r="H93" s="10">
        <v>200</v>
      </c>
      <c r="I93" s="15">
        <v>10</v>
      </c>
      <c r="J93" s="62">
        <f t="shared" si="16"/>
        <v>3.78E-2</v>
      </c>
      <c r="L93" s="10">
        <v>200</v>
      </c>
      <c r="M93" s="14">
        <v>1</v>
      </c>
      <c r="N93" s="64">
        <f t="shared" si="17"/>
        <v>0.31929999999999997</v>
      </c>
      <c r="P93" s="10">
        <v>200</v>
      </c>
      <c r="Q93" s="15">
        <v>0</v>
      </c>
      <c r="R93" s="65">
        <f t="shared" si="18"/>
        <v>0.64290000000000003</v>
      </c>
    </row>
    <row r="94" spans="2:18" x14ac:dyDescent="0.25">
      <c r="B94" s="10">
        <v>201</v>
      </c>
      <c r="C94" s="15">
        <v>20</v>
      </c>
      <c r="D94" s="14">
        <v>11</v>
      </c>
      <c r="E94" s="14">
        <v>10</v>
      </c>
      <c r="H94" s="10">
        <v>201</v>
      </c>
      <c r="I94" s="15">
        <v>20</v>
      </c>
      <c r="J94" s="62">
        <f t="shared" si="16"/>
        <v>3.78E-2</v>
      </c>
      <c r="L94" s="10">
        <v>201</v>
      </c>
      <c r="M94" s="14">
        <v>21</v>
      </c>
      <c r="N94" s="64">
        <f t="shared" si="17"/>
        <v>0.31929999999999997</v>
      </c>
      <c r="P94" s="10">
        <v>201</v>
      </c>
      <c r="Q94" s="15">
        <v>10</v>
      </c>
      <c r="R94" s="65">
        <f t="shared" si="18"/>
        <v>0.64290000000000003</v>
      </c>
    </row>
    <row r="95" spans="2:18" x14ac:dyDescent="0.25">
      <c r="B95" s="10">
        <v>210</v>
      </c>
      <c r="C95" s="15">
        <v>110</v>
      </c>
      <c r="D95" s="14">
        <v>101</v>
      </c>
      <c r="E95" s="14">
        <v>100</v>
      </c>
      <c r="H95" s="10">
        <v>210</v>
      </c>
      <c r="I95" s="15">
        <v>110</v>
      </c>
      <c r="J95" s="62">
        <f t="shared" si="16"/>
        <v>3.78E-2</v>
      </c>
      <c r="L95" s="10">
        <v>210</v>
      </c>
      <c r="M95" s="14">
        <v>101</v>
      </c>
      <c r="N95" s="64">
        <f t="shared" si="17"/>
        <v>0.31929999999999997</v>
      </c>
      <c r="P95" s="10">
        <v>210</v>
      </c>
      <c r="Q95" s="15">
        <v>100</v>
      </c>
      <c r="R95" s="65">
        <f t="shared" si="18"/>
        <v>0.64290000000000003</v>
      </c>
    </row>
    <row r="96" spans="2:18" x14ac:dyDescent="0.25">
      <c r="B96" s="10">
        <v>300</v>
      </c>
      <c r="C96" s="15">
        <v>10</v>
      </c>
      <c r="D96" s="14">
        <v>1</v>
      </c>
      <c r="E96" s="14">
        <v>0</v>
      </c>
      <c r="H96" s="10">
        <v>300</v>
      </c>
      <c r="I96" s="15">
        <v>10</v>
      </c>
      <c r="J96" s="62">
        <f t="shared" si="16"/>
        <v>3.78E-2</v>
      </c>
      <c r="L96" s="10">
        <v>300</v>
      </c>
      <c r="M96" s="14">
        <v>1</v>
      </c>
      <c r="N96" s="64">
        <f t="shared" si="17"/>
        <v>0.31929999999999997</v>
      </c>
      <c r="P96" s="10">
        <v>300</v>
      </c>
      <c r="Q96" s="15">
        <v>0</v>
      </c>
      <c r="R96" s="65">
        <f t="shared" si="18"/>
        <v>0.64290000000000003</v>
      </c>
    </row>
    <row r="97" spans="1:26" x14ac:dyDescent="0.25">
      <c r="B97" s="2"/>
      <c r="C97" s="15"/>
      <c r="D97" s="14"/>
      <c r="E97" s="14"/>
      <c r="H97" s="2"/>
      <c r="I97" s="15"/>
      <c r="J97" s="70"/>
      <c r="L97" s="2"/>
      <c r="M97" s="14"/>
      <c r="N97" s="70"/>
      <c r="P97" s="2"/>
      <c r="Q97" s="15"/>
      <c r="R97" s="70"/>
    </row>
    <row r="98" spans="1:26" x14ac:dyDescent="0.25">
      <c r="B98" s="2"/>
      <c r="C98" s="15"/>
      <c r="H98" s="2"/>
      <c r="I98" s="15"/>
      <c r="J98" s="70"/>
      <c r="L98" s="2"/>
      <c r="M98" s="69"/>
      <c r="N98" s="14" t="s">
        <v>105</v>
      </c>
      <c r="P98" s="2"/>
      <c r="Q98" s="15"/>
      <c r="R98" s="70"/>
    </row>
    <row r="99" spans="1:26" x14ac:dyDescent="0.25">
      <c r="B99" s="2"/>
      <c r="E99" s="190" t="s">
        <v>73</v>
      </c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</row>
    <row r="100" spans="1:26" x14ac:dyDescent="0.25">
      <c r="C100" s="2"/>
      <c r="D100" s="15"/>
      <c r="E100" s="52" t="s">
        <v>85</v>
      </c>
      <c r="F100" s="52" t="s">
        <v>86</v>
      </c>
      <c r="G100" s="52" t="s">
        <v>87</v>
      </c>
      <c r="H100" s="52" t="s">
        <v>88</v>
      </c>
      <c r="I100" s="52" t="s">
        <v>89</v>
      </c>
      <c r="J100" s="52" t="s">
        <v>90</v>
      </c>
      <c r="K100" s="52" t="s">
        <v>91</v>
      </c>
      <c r="L100" s="52" t="s">
        <v>92</v>
      </c>
      <c r="M100" s="52" t="s">
        <v>93</v>
      </c>
      <c r="N100" s="52" t="s">
        <v>94</v>
      </c>
      <c r="O100" s="52" t="s">
        <v>95</v>
      </c>
      <c r="P100" s="52" t="s">
        <v>96</v>
      </c>
      <c r="Q100" s="52" t="s">
        <v>97</v>
      </c>
      <c r="R100" s="52" t="s">
        <v>98</v>
      </c>
      <c r="S100" s="52" t="s">
        <v>99</v>
      </c>
      <c r="T100" s="52" t="s">
        <v>100</v>
      </c>
      <c r="U100" s="52" t="s">
        <v>101</v>
      </c>
      <c r="V100" s="52" t="s">
        <v>102</v>
      </c>
      <c r="W100" s="52" t="s">
        <v>103</v>
      </c>
      <c r="X100" s="52" t="s">
        <v>104</v>
      </c>
    </row>
    <row r="101" spans="1:26" x14ac:dyDescent="0.25">
      <c r="D101" s="8"/>
      <c r="E101" s="11" t="s">
        <v>15</v>
      </c>
      <c r="F101" s="11" t="s">
        <v>26</v>
      </c>
      <c r="G101" s="11" t="s">
        <v>47</v>
      </c>
      <c r="H101" s="11" t="s">
        <v>25</v>
      </c>
      <c r="I101" s="11" t="s">
        <v>24</v>
      </c>
      <c r="J101" s="11" t="s">
        <v>27</v>
      </c>
      <c r="K101" s="11" t="s">
        <v>49</v>
      </c>
      <c r="L101" s="11" t="s">
        <v>37</v>
      </c>
      <c r="M101" s="11" t="s">
        <v>48</v>
      </c>
      <c r="N101" s="11" t="s">
        <v>46</v>
      </c>
      <c r="O101" s="11">
        <v>100</v>
      </c>
      <c r="P101" s="11">
        <v>101</v>
      </c>
      <c r="Q101" s="11">
        <v>102</v>
      </c>
      <c r="R101" s="11">
        <v>110</v>
      </c>
      <c r="S101" s="11">
        <v>111</v>
      </c>
      <c r="T101" s="11">
        <v>120</v>
      </c>
      <c r="U101" s="11">
        <v>200</v>
      </c>
      <c r="V101" s="11">
        <v>201</v>
      </c>
      <c r="W101" s="11">
        <v>210</v>
      </c>
      <c r="X101" s="11">
        <v>300</v>
      </c>
      <c r="Y101" s="2"/>
      <c r="Z101" s="11" t="s">
        <v>30</v>
      </c>
    </row>
    <row r="102" spans="1:26" x14ac:dyDescent="0.25">
      <c r="B102" s="191" t="s">
        <v>74</v>
      </c>
      <c r="C102" s="52" t="s">
        <v>85</v>
      </c>
      <c r="D102" s="67" t="s">
        <v>15</v>
      </c>
      <c r="E102" s="65">
        <f>R77</f>
        <v>0.64290000000000003</v>
      </c>
      <c r="F102" s="64">
        <f>N77</f>
        <v>0.31929999999999997</v>
      </c>
      <c r="G102" s="61">
        <v>0</v>
      </c>
      <c r="H102" s="61">
        <v>0</v>
      </c>
      <c r="I102" s="62">
        <f>J77</f>
        <v>3.78E-2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Z102" s="53">
        <f>ROUND(SUM(E102:X102),0)</f>
        <v>1</v>
      </c>
    </row>
    <row r="103" spans="1:26" x14ac:dyDescent="0.25">
      <c r="B103" s="191"/>
      <c r="C103" s="52" t="s">
        <v>86</v>
      </c>
      <c r="D103" s="67" t="s">
        <v>26</v>
      </c>
      <c r="E103" s="61">
        <v>0</v>
      </c>
      <c r="F103" s="61">
        <v>0</v>
      </c>
      <c r="G103" s="61">
        <v>0</v>
      </c>
      <c r="H103" s="61">
        <v>0</v>
      </c>
      <c r="I103" s="65">
        <f>R78</f>
        <v>0.64290000000000003</v>
      </c>
      <c r="J103" s="64">
        <f>N78</f>
        <v>0.31929999999999997</v>
      </c>
      <c r="K103" s="61">
        <v>0</v>
      </c>
      <c r="L103" s="62">
        <f>J78</f>
        <v>3.78E-2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Z103" s="53">
        <f t="shared" ref="Z103:Z121" si="19">ROUND(SUM(E103:X103),0)</f>
        <v>1</v>
      </c>
    </row>
    <row r="104" spans="1:26" x14ac:dyDescent="0.25">
      <c r="A104" s="17"/>
      <c r="B104" s="191"/>
      <c r="C104" s="68" t="s">
        <v>87</v>
      </c>
      <c r="D104" s="67" t="s">
        <v>47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5">
        <f>R79</f>
        <v>0.64290000000000003</v>
      </c>
      <c r="M104" s="64">
        <f>N79</f>
        <v>0.31929999999999997</v>
      </c>
      <c r="N104" s="62">
        <f>J79</f>
        <v>3.78E-2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Z104" s="53">
        <f t="shared" si="19"/>
        <v>1</v>
      </c>
    </row>
    <row r="105" spans="1:26" x14ac:dyDescent="0.25">
      <c r="A105" s="17"/>
      <c r="B105" s="191"/>
      <c r="C105" s="52" t="s">
        <v>88</v>
      </c>
      <c r="D105" s="67" t="s">
        <v>25</v>
      </c>
      <c r="E105" s="61">
        <v>0</v>
      </c>
      <c r="F105" s="61">
        <v>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3">
        <f>R80</f>
        <v>1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Z105" s="53">
        <f t="shared" si="19"/>
        <v>1</v>
      </c>
    </row>
    <row r="106" spans="1:26" x14ac:dyDescent="0.25">
      <c r="A106" s="17"/>
      <c r="B106" s="191"/>
      <c r="C106" s="52" t="s">
        <v>89</v>
      </c>
      <c r="D106" s="67" t="s">
        <v>24</v>
      </c>
      <c r="E106" s="61">
        <v>0</v>
      </c>
      <c r="F106" s="61">
        <v>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5">
        <f>R81</f>
        <v>0.64290000000000003</v>
      </c>
      <c r="P106" s="64">
        <f>N81</f>
        <v>0.31929999999999997</v>
      </c>
      <c r="Q106" s="61">
        <v>0</v>
      </c>
      <c r="R106" s="62">
        <f>J81</f>
        <v>3.78E-2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Z106" s="53">
        <f t="shared" si="19"/>
        <v>1</v>
      </c>
    </row>
    <row r="107" spans="1:26" x14ac:dyDescent="0.25">
      <c r="A107" s="17"/>
      <c r="B107" s="191"/>
      <c r="C107" s="52" t="s">
        <v>90</v>
      </c>
      <c r="D107" s="67" t="s">
        <v>27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5">
        <f>R82</f>
        <v>0.64290000000000003</v>
      </c>
      <c r="S107" s="64">
        <f>N82</f>
        <v>0.31929999999999997</v>
      </c>
      <c r="T107" s="62">
        <f>J82</f>
        <v>3.78E-2</v>
      </c>
      <c r="U107" s="61">
        <v>0</v>
      </c>
      <c r="V107" s="61">
        <v>0</v>
      </c>
      <c r="W107" s="61">
        <v>0</v>
      </c>
      <c r="X107" s="61">
        <v>0</v>
      </c>
      <c r="Z107" s="53">
        <f t="shared" si="19"/>
        <v>1</v>
      </c>
    </row>
    <row r="108" spans="1:26" x14ac:dyDescent="0.25">
      <c r="A108" s="17"/>
      <c r="B108" s="191"/>
      <c r="C108" s="52" t="s">
        <v>91</v>
      </c>
      <c r="D108" s="67" t="s">
        <v>49</v>
      </c>
      <c r="E108" s="61">
        <v>0</v>
      </c>
      <c r="F108" s="61">
        <v>0</v>
      </c>
      <c r="G108" s="61">
        <v>0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3">
        <f>R83</f>
        <v>1</v>
      </c>
      <c r="U108" s="61">
        <v>0</v>
      </c>
      <c r="V108" s="61">
        <v>0</v>
      </c>
      <c r="W108" s="61">
        <v>0</v>
      </c>
      <c r="X108" s="61">
        <v>0</v>
      </c>
      <c r="Z108" s="53">
        <f t="shared" si="19"/>
        <v>1</v>
      </c>
    </row>
    <row r="109" spans="1:26" x14ac:dyDescent="0.25">
      <c r="A109" s="17"/>
      <c r="B109" s="191"/>
      <c r="C109" s="68" t="s">
        <v>92</v>
      </c>
      <c r="D109" s="67" t="s">
        <v>37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5">
        <f>R84</f>
        <v>0.64290000000000003</v>
      </c>
      <c r="V109" s="64">
        <f>N84</f>
        <v>0.31929999999999997</v>
      </c>
      <c r="W109" s="62">
        <f>J84</f>
        <v>3.78E-2</v>
      </c>
      <c r="X109" s="61">
        <v>0</v>
      </c>
      <c r="Z109" s="53">
        <f t="shared" si="19"/>
        <v>1</v>
      </c>
    </row>
    <row r="110" spans="1:26" x14ac:dyDescent="0.25">
      <c r="A110" s="17"/>
      <c r="B110" s="191"/>
      <c r="C110" s="52" t="s">
        <v>93</v>
      </c>
      <c r="D110" s="67" t="s">
        <v>48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3">
        <f>R85</f>
        <v>1</v>
      </c>
      <c r="X110" s="61">
        <v>0</v>
      </c>
      <c r="Z110" s="53">
        <f t="shared" si="19"/>
        <v>1</v>
      </c>
    </row>
    <row r="111" spans="1:26" x14ac:dyDescent="0.25">
      <c r="A111" s="17"/>
      <c r="B111" s="191"/>
      <c r="C111" s="52" t="s">
        <v>94</v>
      </c>
      <c r="D111" s="67" t="s">
        <v>46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3">
        <f>R86</f>
        <v>1</v>
      </c>
      <c r="Z111" s="53">
        <f t="shared" si="19"/>
        <v>1</v>
      </c>
    </row>
    <row r="112" spans="1:26" x14ac:dyDescent="0.25">
      <c r="A112" s="17"/>
      <c r="B112" s="191"/>
      <c r="C112" s="52" t="s">
        <v>95</v>
      </c>
      <c r="D112" s="67">
        <v>100</v>
      </c>
      <c r="E112" s="65">
        <f>R87</f>
        <v>0.64290000000000003</v>
      </c>
      <c r="F112" s="64">
        <f>N87</f>
        <v>0.31929999999999997</v>
      </c>
      <c r="G112" s="61">
        <v>0</v>
      </c>
      <c r="H112" s="61">
        <v>0</v>
      </c>
      <c r="I112" s="62">
        <f>J87</f>
        <v>3.78E-2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Z112" s="53">
        <f t="shared" si="19"/>
        <v>1</v>
      </c>
    </row>
    <row r="113" spans="1:26" x14ac:dyDescent="0.25">
      <c r="A113" s="17"/>
      <c r="B113" s="191"/>
      <c r="C113" s="52" t="s">
        <v>96</v>
      </c>
      <c r="D113" s="67">
        <v>101</v>
      </c>
      <c r="E113" s="61">
        <v>0</v>
      </c>
      <c r="F113" s="61">
        <v>0</v>
      </c>
      <c r="G113" s="61">
        <v>0</v>
      </c>
      <c r="H113" s="61">
        <v>0</v>
      </c>
      <c r="I113" s="65">
        <f>R88</f>
        <v>0.64290000000000003</v>
      </c>
      <c r="J113" s="64">
        <f>N88</f>
        <v>0.31929999999999997</v>
      </c>
      <c r="K113" s="61">
        <v>0</v>
      </c>
      <c r="L113" s="62">
        <f>J88</f>
        <v>3.78E-2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Z113" s="53">
        <f t="shared" si="19"/>
        <v>1</v>
      </c>
    </row>
    <row r="114" spans="1:26" x14ac:dyDescent="0.25">
      <c r="A114" s="17"/>
      <c r="B114" s="191"/>
      <c r="C114" s="52" t="s">
        <v>97</v>
      </c>
      <c r="D114" s="67">
        <v>102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5">
        <f>R89</f>
        <v>0.64290000000000003</v>
      </c>
      <c r="M114" s="64">
        <f>N89</f>
        <v>0.31929999999999997</v>
      </c>
      <c r="N114" s="62">
        <f>J89</f>
        <v>3.78E-2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Z114" s="53">
        <f t="shared" si="19"/>
        <v>1</v>
      </c>
    </row>
    <row r="115" spans="1:26" x14ac:dyDescent="0.25">
      <c r="A115" s="17"/>
      <c r="B115" s="191"/>
      <c r="C115" s="52" t="s">
        <v>98</v>
      </c>
      <c r="D115" s="67">
        <v>110</v>
      </c>
      <c r="E115" s="61">
        <v>0</v>
      </c>
      <c r="F115" s="61">
        <v>0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5">
        <f>R90</f>
        <v>0.64290000000000003</v>
      </c>
      <c r="P115" s="64">
        <f>N90</f>
        <v>0.31929999999999997</v>
      </c>
      <c r="Q115" s="61">
        <v>0</v>
      </c>
      <c r="R115" s="62">
        <f>J90</f>
        <v>3.78E-2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Z115" s="53">
        <f t="shared" si="19"/>
        <v>1</v>
      </c>
    </row>
    <row r="116" spans="1:26" x14ac:dyDescent="0.25">
      <c r="A116" s="17"/>
      <c r="B116" s="191"/>
      <c r="C116" s="52" t="s">
        <v>99</v>
      </c>
      <c r="D116" s="67">
        <v>111</v>
      </c>
      <c r="E116" s="61">
        <v>0</v>
      </c>
      <c r="F116" s="61">
        <v>0</v>
      </c>
      <c r="G116" s="61">
        <v>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5">
        <f>R91</f>
        <v>0.64290000000000003</v>
      </c>
      <c r="S116" s="64">
        <f>S107</f>
        <v>0.31929999999999997</v>
      </c>
      <c r="T116" s="62">
        <f>J91</f>
        <v>3.78E-2</v>
      </c>
      <c r="U116" s="61">
        <v>0</v>
      </c>
      <c r="V116" s="61">
        <v>0</v>
      </c>
      <c r="W116" s="61">
        <v>0</v>
      </c>
      <c r="X116" s="61">
        <v>0</v>
      </c>
      <c r="Z116" s="53">
        <f t="shared" si="19"/>
        <v>1</v>
      </c>
    </row>
    <row r="117" spans="1:26" x14ac:dyDescent="0.25">
      <c r="A117" s="17"/>
      <c r="B117" s="191"/>
      <c r="C117" s="52" t="s">
        <v>100</v>
      </c>
      <c r="D117" s="67">
        <v>120</v>
      </c>
      <c r="E117" s="61">
        <v>0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5">
        <f>R92</f>
        <v>0.64290000000000003</v>
      </c>
      <c r="V117" s="64">
        <f>V109</f>
        <v>0.31929999999999997</v>
      </c>
      <c r="W117" s="62">
        <f>J92</f>
        <v>3.78E-2</v>
      </c>
      <c r="X117" s="61">
        <v>0</v>
      </c>
      <c r="Z117" s="53">
        <f t="shared" si="19"/>
        <v>1</v>
      </c>
    </row>
    <row r="118" spans="1:26" x14ac:dyDescent="0.25">
      <c r="A118" s="17"/>
      <c r="B118" s="191"/>
      <c r="C118" s="52" t="s">
        <v>101</v>
      </c>
      <c r="D118" s="67">
        <v>200</v>
      </c>
      <c r="E118" s="65">
        <f>R93</f>
        <v>0.64290000000000003</v>
      </c>
      <c r="F118" s="64">
        <f>F112</f>
        <v>0.31929999999999997</v>
      </c>
      <c r="G118" s="61">
        <v>0</v>
      </c>
      <c r="H118" s="61">
        <v>0</v>
      </c>
      <c r="I118" s="62">
        <f>J93</f>
        <v>3.78E-2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Z118" s="53">
        <f t="shared" si="19"/>
        <v>1</v>
      </c>
    </row>
    <row r="119" spans="1:26" x14ac:dyDescent="0.25">
      <c r="A119" s="17"/>
      <c r="B119" s="191"/>
      <c r="C119" s="68" t="s">
        <v>102</v>
      </c>
      <c r="D119" s="67">
        <v>201</v>
      </c>
      <c r="E119" s="61">
        <v>0</v>
      </c>
      <c r="F119" s="61">
        <v>0</v>
      </c>
      <c r="G119" s="61">
        <v>0</v>
      </c>
      <c r="H119" s="61">
        <v>0</v>
      </c>
      <c r="I119" s="65">
        <f>R94</f>
        <v>0.64290000000000003</v>
      </c>
      <c r="J119" s="64">
        <f>N94</f>
        <v>0.31929999999999997</v>
      </c>
      <c r="K119" s="61">
        <v>0</v>
      </c>
      <c r="L119" s="62">
        <f>J94</f>
        <v>3.78E-2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Z119" s="53">
        <f t="shared" si="19"/>
        <v>1</v>
      </c>
    </row>
    <row r="120" spans="1:26" x14ac:dyDescent="0.25">
      <c r="A120" s="17"/>
      <c r="B120" s="191"/>
      <c r="C120" s="52" t="s">
        <v>103</v>
      </c>
      <c r="D120" s="67">
        <v>210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5">
        <f>R95</f>
        <v>0.64290000000000003</v>
      </c>
      <c r="P120" s="64">
        <f>N95</f>
        <v>0.31929999999999997</v>
      </c>
      <c r="Q120" s="61">
        <v>0</v>
      </c>
      <c r="R120" s="62">
        <f>J95</f>
        <v>3.78E-2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Z120" s="53">
        <f t="shared" si="19"/>
        <v>1</v>
      </c>
    </row>
    <row r="121" spans="1:26" x14ac:dyDescent="0.25">
      <c r="A121" s="17"/>
      <c r="B121" s="191"/>
      <c r="C121" s="52" t="s">
        <v>104</v>
      </c>
      <c r="D121" s="67">
        <v>300</v>
      </c>
      <c r="E121" s="65">
        <f>R96</f>
        <v>0.64290000000000003</v>
      </c>
      <c r="F121" s="64">
        <f>F112</f>
        <v>0.31929999999999997</v>
      </c>
      <c r="G121" s="61">
        <v>0</v>
      </c>
      <c r="H121" s="61">
        <v>0</v>
      </c>
      <c r="I121" s="62">
        <f>J96</f>
        <v>3.78E-2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Z121" s="53">
        <f t="shared" si="19"/>
        <v>1</v>
      </c>
    </row>
  </sheetData>
  <mergeCells count="10">
    <mergeCell ref="Q74:R74"/>
    <mergeCell ref="E99:X99"/>
    <mergeCell ref="B102:B121"/>
    <mergeCell ref="A1:L1"/>
    <mergeCell ref="A2:P2"/>
    <mergeCell ref="B18:E18"/>
    <mergeCell ref="F18:I18"/>
    <mergeCell ref="J18:M18"/>
    <mergeCell ref="I74:J74"/>
    <mergeCell ref="M74:N74"/>
  </mergeCells>
  <conditionalFormatting sqref="Q21:Q24">
    <cfRule type="duplicateValues" dxfId="45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B91A7CF-2CFD-4569-822D-3B9B1F0544CD}">
            <x14:iconSet iconSet="3Symbols" showValue="0" custom="1">
              <x14:cfvo type="percent">
                <xm:f>0</xm:f>
              </x14:cfvo>
              <x14:cfvo type="num" gte="0">
                <xm:f>3.5</xm:f>
              </x14:cfvo>
              <x14:cfvo type="num" gte="0">
                <xm:f>8</xm:f>
              </x14:cfvo>
              <x14:cfIcon iconSet="3Symbols" iconId="2"/>
              <x14:cfIcon iconSet="3Symbols" iconId="0"/>
              <x14:cfIcon iconSet="3Symbols" iconId="0"/>
            </x14:iconSet>
          </x14:cfRule>
          <xm:sqref>M28:M48 T28:T48 F28:F49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89E2-8E99-41B7-8C68-96C94A51161B}">
  <dimension ref="A1:U51"/>
  <sheetViews>
    <sheetView topLeftCell="A29" workbookViewId="0">
      <selection activeCell="A36" sqref="A36:E51"/>
    </sheetView>
  </sheetViews>
  <sheetFormatPr defaultColWidth="0" defaultRowHeight="15" x14ac:dyDescent="0.25"/>
  <cols>
    <col min="1" max="1" width="8.85546875" customWidth="1"/>
    <col min="2" max="2" width="10.7109375" bestFit="1" customWidth="1"/>
    <col min="3" max="3" width="9.7109375" bestFit="1" customWidth="1"/>
    <col min="4" max="4" width="8.85546875" customWidth="1"/>
    <col min="5" max="5" width="10.140625" style="2" bestFit="1" customWidth="1"/>
    <col min="6" max="6" width="8.85546875" customWidth="1"/>
    <col min="7" max="7" width="8.85546875" style="2" customWidth="1"/>
    <col min="8" max="9" width="7.5703125" bestFit="1" customWidth="1"/>
    <col min="10" max="13" width="8.85546875" customWidth="1"/>
    <col min="14" max="14" width="11.140625" customWidth="1"/>
    <col min="15" max="15" width="14.42578125" bestFit="1" customWidth="1"/>
    <col min="16" max="16" width="16.140625" bestFit="1" customWidth="1"/>
    <col min="17" max="17" width="8.85546875" customWidth="1"/>
    <col min="18" max="21" width="0" hidden="1" customWidth="1"/>
    <col min="22" max="16384" width="8.85546875" hidden="1"/>
  </cols>
  <sheetData>
    <row r="1" spans="1:21" ht="15.75" x14ac:dyDescent="0.25">
      <c r="A1" s="181" t="s">
        <v>159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21" x14ac:dyDescent="0.25">
      <c r="A2" s="83" t="s">
        <v>128</v>
      </c>
      <c r="B2" s="84" t="s">
        <v>127</v>
      </c>
      <c r="C2" s="84" t="s">
        <v>129</v>
      </c>
      <c r="E2" s="83" t="s">
        <v>124</v>
      </c>
      <c r="F2" s="83" t="s">
        <v>125</v>
      </c>
      <c r="G2" s="84" t="s">
        <v>126</v>
      </c>
    </row>
    <row r="3" spans="1:21" x14ac:dyDescent="0.25">
      <c r="A3" s="78" t="s">
        <v>106</v>
      </c>
      <c r="B3" s="77" t="s">
        <v>1</v>
      </c>
      <c r="C3" s="87" t="s">
        <v>24</v>
      </c>
      <c r="E3" s="78" t="s">
        <v>121</v>
      </c>
      <c r="F3" s="78">
        <v>9.1399999999999995E-2</v>
      </c>
      <c r="G3" s="85">
        <f>F3</f>
        <v>9.1399999999999995E-2</v>
      </c>
      <c r="M3" s="71"/>
      <c r="S3" s="71"/>
    </row>
    <row r="4" spans="1:21" x14ac:dyDescent="0.25">
      <c r="A4" s="78" t="s">
        <v>107</v>
      </c>
      <c r="B4" s="77">
        <v>737</v>
      </c>
      <c r="C4" s="87" t="s">
        <v>26</v>
      </c>
      <c r="E4" s="78" t="s">
        <v>122</v>
      </c>
      <c r="F4" s="78">
        <v>0.26429999999999998</v>
      </c>
      <c r="G4" s="85">
        <f t="shared" ref="G4:G5" si="0">F4</f>
        <v>0.26429999999999998</v>
      </c>
      <c r="J4" s="116"/>
      <c r="K4" t="s">
        <v>146</v>
      </c>
      <c r="M4" s="71"/>
    </row>
    <row r="5" spans="1:21" x14ac:dyDescent="0.25">
      <c r="A5" s="76" t="s">
        <v>108</v>
      </c>
      <c r="B5" s="88" t="s">
        <v>63</v>
      </c>
      <c r="C5" s="89" t="s">
        <v>15</v>
      </c>
      <c r="E5" s="76" t="s">
        <v>123</v>
      </c>
      <c r="F5" s="76">
        <v>0.64429999999999998</v>
      </c>
      <c r="G5" s="86">
        <f t="shared" si="0"/>
        <v>0.64429999999999998</v>
      </c>
      <c r="M5" s="71"/>
      <c r="S5" s="71"/>
    </row>
    <row r="6" spans="1:21" x14ac:dyDescent="0.25">
      <c r="B6" s="71"/>
      <c r="E6" s="7"/>
      <c r="F6" s="72"/>
      <c r="G6" s="80"/>
      <c r="H6" s="73"/>
      <c r="I6" s="73" t="s">
        <v>106</v>
      </c>
      <c r="J6" s="73"/>
      <c r="K6" s="73" t="s">
        <v>107</v>
      </c>
      <c r="L6" s="73"/>
      <c r="M6" s="71" t="s">
        <v>28</v>
      </c>
      <c r="S6" s="71"/>
    </row>
    <row r="7" spans="1:21" x14ac:dyDescent="0.25">
      <c r="B7" s="71"/>
      <c r="C7" s="90"/>
      <c r="D7" s="90"/>
      <c r="E7" s="91"/>
      <c r="F7" s="94" t="s">
        <v>106</v>
      </c>
      <c r="G7" s="98" t="s">
        <v>111</v>
      </c>
      <c r="H7" s="113" t="s">
        <v>139</v>
      </c>
      <c r="I7" s="73"/>
      <c r="J7" s="73"/>
      <c r="K7" s="71"/>
      <c r="L7" s="71"/>
      <c r="M7" s="71"/>
    </row>
    <row r="8" spans="1:21" x14ac:dyDescent="0.25">
      <c r="C8" s="92"/>
      <c r="D8" s="92"/>
      <c r="E8" s="93" t="s">
        <v>111</v>
      </c>
      <c r="F8" s="94" t="s">
        <v>107</v>
      </c>
      <c r="G8" s="98" t="s">
        <v>110</v>
      </c>
      <c r="H8" s="113" t="s">
        <v>140</v>
      </c>
      <c r="I8" s="73"/>
      <c r="J8" s="73"/>
      <c r="K8" s="71"/>
      <c r="L8" s="71"/>
      <c r="M8" s="71"/>
    </row>
    <row r="9" spans="1:21" x14ac:dyDescent="0.25">
      <c r="C9" s="92"/>
      <c r="D9" s="94" t="s">
        <v>106</v>
      </c>
      <c r="E9" s="111" t="s">
        <v>139</v>
      </c>
      <c r="F9" s="99" t="s">
        <v>108</v>
      </c>
      <c r="G9" s="98" t="s">
        <v>109</v>
      </c>
      <c r="H9" s="113" t="s">
        <v>138</v>
      </c>
      <c r="I9" s="73"/>
      <c r="J9" s="73"/>
      <c r="K9" s="73"/>
      <c r="L9" s="73"/>
      <c r="M9" s="71"/>
      <c r="Q9" s="71"/>
      <c r="R9" s="71"/>
      <c r="U9" s="71"/>
    </row>
    <row r="10" spans="1:21" x14ac:dyDescent="0.25">
      <c r="C10" s="92"/>
      <c r="D10" s="92"/>
      <c r="E10" s="95"/>
      <c r="F10" s="102" t="s">
        <v>106</v>
      </c>
      <c r="G10" s="98" t="s">
        <v>37</v>
      </c>
      <c r="H10" s="113" t="s">
        <v>136</v>
      </c>
      <c r="I10" s="111"/>
      <c r="J10" s="73"/>
      <c r="K10" s="71"/>
      <c r="L10" s="74"/>
      <c r="M10" s="71"/>
      <c r="Q10" s="71"/>
      <c r="R10" s="71"/>
      <c r="U10" s="71"/>
    </row>
    <row r="11" spans="1:21" x14ac:dyDescent="0.25">
      <c r="C11" s="93" t="s">
        <v>24</v>
      </c>
      <c r="D11" s="94" t="s">
        <v>107</v>
      </c>
      <c r="E11" s="93" t="s">
        <v>110</v>
      </c>
      <c r="F11" s="94" t="s">
        <v>107</v>
      </c>
      <c r="G11" s="98" t="s">
        <v>27</v>
      </c>
      <c r="H11" s="113" t="s">
        <v>137</v>
      </c>
      <c r="I11" s="73"/>
      <c r="J11" s="73"/>
      <c r="K11" s="71"/>
      <c r="L11" s="71"/>
      <c r="M11" s="71"/>
      <c r="Q11" s="71"/>
      <c r="R11" s="71"/>
      <c r="U11" s="71"/>
    </row>
    <row r="12" spans="1:21" x14ac:dyDescent="0.25">
      <c r="C12" s="110" t="s">
        <v>134</v>
      </c>
      <c r="D12" s="92"/>
      <c r="E12" s="113" t="s">
        <v>140</v>
      </c>
      <c r="F12" s="99" t="s">
        <v>108</v>
      </c>
      <c r="G12" s="98" t="s">
        <v>24</v>
      </c>
      <c r="H12" s="113" t="s">
        <v>134</v>
      </c>
      <c r="I12" s="111"/>
      <c r="J12" s="73"/>
      <c r="K12" s="73"/>
      <c r="L12" s="73"/>
      <c r="M12" s="71"/>
      <c r="Q12" s="71"/>
      <c r="R12" s="71"/>
      <c r="U12" s="71"/>
    </row>
    <row r="13" spans="1:21" x14ac:dyDescent="0.25">
      <c r="C13" s="92"/>
      <c r="D13" s="94" t="s">
        <v>108</v>
      </c>
      <c r="E13" s="96"/>
      <c r="F13" s="102" t="s">
        <v>106</v>
      </c>
      <c r="G13" s="98" t="s">
        <v>24</v>
      </c>
      <c r="H13" s="113" t="s">
        <v>134</v>
      </c>
      <c r="I13" s="111"/>
      <c r="J13" s="73"/>
      <c r="K13" s="71"/>
      <c r="L13" s="74"/>
      <c r="M13" s="71"/>
      <c r="Q13" s="71"/>
      <c r="R13" s="71"/>
      <c r="U13" s="71"/>
    </row>
    <row r="14" spans="1:21" x14ac:dyDescent="0.25">
      <c r="B14" s="94" t="s">
        <v>106</v>
      </c>
      <c r="C14" s="92"/>
      <c r="D14" s="92"/>
      <c r="E14" s="93" t="s">
        <v>109</v>
      </c>
      <c r="F14" s="94" t="s">
        <v>107</v>
      </c>
      <c r="G14" s="98" t="s">
        <v>26</v>
      </c>
      <c r="H14" s="113" t="s">
        <v>132</v>
      </c>
      <c r="I14" s="111"/>
      <c r="J14" s="73"/>
      <c r="K14" s="71"/>
      <c r="L14" s="71"/>
      <c r="M14" s="71"/>
      <c r="Q14" s="71"/>
      <c r="R14" s="71"/>
      <c r="U14" s="71"/>
    </row>
    <row r="15" spans="1:21" x14ac:dyDescent="0.25">
      <c r="C15" s="97"/>
      <c r="D15" s="97"/>
      <c r="E15" s="113" t="s">
        <v>138</v>
      </c>
      <c r="F15" s="99" t="s">
        <v>108</v>
      </c>
      <c r="G15" s="98" t="s">
        <v>15</v>
      </c>
      <c r="H15" s="113" t="s">
        <v>133</v>
      </c>
      <c r="I15" s="111"/>
      <c r="J15" s="73"/>
      <c r="K15" s="73"/>
      <c r="L15" s="73"/>
      <c r="Q15" s="71"/>
      <c r="R15" s="71"/>
      <c r="U15" s="71"/>
    </row>
    <row r="16" spans="1:21" x14ac:dyDescent="0.25">
      <c r="C16" s="90"/>
      <c r="D16" s="90"/>
      <c r="E16" s="91"/>
      <c r="F16" s="94" t="s">
        <v>106</v>
      </c>
      <c r="G16" s="98" t="s">
        <v>114</v>
      </c>
      <c r="H16" s="113" t="s">
        <v>141</v>
      </c>
      <c r="I16" s="99" t="s">
        <v>111</v>
      </c>
      <c r="J16" s="113" t="s">
        <v>139</v>
      </c>
      <c r="K16" s="99" t="s">
        <v>110</v>
      </c>
      <c r="L16" s="113" t="s">
        <v>140</v>
      </c>
      <c r="M16" s="94" t="s">
        <v>109</v>
      </c>
      <c r="N16" s="113" t="s">
        <v>138</v>
      </c>
      <c r="Q16" s="71"/>
      <c r="R16" s="71"/>
      <c r="U16" s="71"/>
    </row>
    <row r="17" spans="1:21" x14ac:dyDescent="0.25">
      <c r="A17" s="79" t="s">
        <v>15</v>
      </c>
      <c r="C17" s="92"/>
      <c r="D17" s="92"/>
      <c r="E17" s="93" t="s">
        <v>37</v>
      </c>
      <c r="F17" s="94" t="s">
        <v>107</v>
      </c>
      <c r="G17" s="98" t="s">
        <v>113</v>
      </c>
      <c r="H17" s="113" t="s">
        <v>142</v>
      </c>
      <c r="I17" s="99" t="s">
        <v>37</v>
      </c>
      <c r="J17" s="113" t="s">
        <v>136</v>
      </c>
      <c r="K17" s="99" t="s">
        <v>27</v>
      </c>
      <c r="L17" s="113" t="s">
        <v>137</v>
      </c>
      <c r="M17" s="71" t="s">
        <v>24</v>
      </c>
      <c r="N17" s="113" t="s">
        <v>134</v>
      </c>
      <c r="Q17" s="71"/>
      <c r="R17" s="71"/>
      <c r="U17" s="71"/>
    </row>
    <row r="18" spans="1:21" x14ac:dyDescent="0.25">
      <c r="A18" s="110" t="s">
        <v>133</v>
      </c>
      <c r="C18" s="92"/>
      <c r="D18" s="94" t="s">
        <v>106</v>
      </c>
      <c r="E18" s="113" t="s">
        <v>136</v>
      </c>
      <c r="F18" s="99" t="s">
        <v>108</v>
      </c>
      <c r="G18" s="98" t="s">
        <v>112</v>
      </c>
      <c r="H18" s="113" t="s">
        <v>143</v>
      </c>
      <c r="I18" s="114" t="s">
        <v>24</v>
      </c>
      <c r="J18" s="115" t="s">
        <v>134</v>
      </c>
      <c r="K18" s="114" t="s">
        <v>26</v>
      </c>
      <c r="L18" s="115" t="s">
        <v>132</v>
      </c>
      <c r="M18" s="73" t="s">
        <v>15</v>
      </c>
      <c r="N18" s="113" t="s">
        <v>133</v>
      </c>
      <c r="Q18" s="71"/>
      <c r="R18" s="71"/>
      <c r="U18" s="71"/>
    </row>
    <row r="19" spans="1:21" x14ac:dyDescent="0.25">
      <c r="A19" s="71"/>
      <c r="B19" s="94" t="s">
        <v>107</v>
      </c>
      <c r="D19" s="92"/>
      <c r="E19" s="91"/>
      <c r="F19" s="94" t="s">
        <v>106</v>
      </c>
      <c r="G19" s="98" t="s">
        <v>116</v>
      </c>
      <c r="H19" s="113" t="s">
        <v>144</v>
      </c>
      <c r="I19" s="99" t="s">
        <v>114</v>
      </c>
      <c r="J19" s="113" t="s">
        <v>141</v>
      </c>
      <c r="K19" s="99" t="s">
        <v>113</v>
      </c>
      <c r="L19" s="113" t="s">
        <v>142</v>
      </c>
      <c r="M19" s="94" t="s">
        <v>112</v>
      </c>
      <c r="N19" s="113" t="s">
        <v>143</v>
      </c>
      <c r="Q19" s="71"/>
      <c r="R19" s="71"/>
      <c r="U19" s="71"/>
    </row>
    <row r="20" spans="1:21" x14ac:dyDescent="0.25">
      <c r="A20" s="71"/>
      <c r="C20" s="93" t="s">
        <v>26</v>
      </c>
      <c r="D20" s="92" t="s">
        <v>107</v>
      </c>
      <c r="E20" s="93" t="s">
        <v>27</v>
      </c>
      <c r="F20" s="94" t="s">
        <v>107</v>
      </c>
      <c r="G20" s="98" t="s">
        <v>115</v>
      </c>
      <c r="H20" s="113" t="s">
        <v>145</v>
      </c>
      <c r="I20" s="99" t="s">
        <v>116</v>
      </c>
      <c r="J20" s="113" t="s">
        <v>144</v>
      </c>
      <c r="K20" s="99" t="s">
        <v>115</v>
      </c>
      <c r="L20" s="113" t="s">
        <v>145</v>
      </c>
      <c r="M20" s="94" t="s">
        <v>111</v>
      </c>
      <c r="N20" s="113" t="s">
        <v>139</v>
      </c>
      <c r="Q20" s="71"/>
      <c r="R20" s="71"/>
      <c r="U20" s="71"/>
    </row>
    <row r="21" spans="1:21" x14ac:dyDescent="0.25">
      <c r="A21" s="71"/>
      <c r="C21" s="110" t="s">
        <v>132</v>
      </c>
      <c r="D21" s="92"/>
      <c r="E21" s="113" t="s">
        <v>137</v>
      </c>
      <c r="F21" s="99" t="s">
        <v>108</v>
      </c>
      <c r="G21" s="98" t="s">
        <v>111</v>
      </c>
      <c r="H21" s="113" t="s">
        <v>139</v>
      </c>
      <c r="I21" s="99" t="s">
        <v>111</v>
      </c>
      <c r="J21" s="113" t="s">
        <v>139</v>
      </c>
      <c r="K21" s="99" t="s">
        <v>110</v>
      </c>
      <c r="L21" s="113" t="s">
        <v>140</v>
      </c>
      <c r="M21" s="99" t="s">
        <v>109</v>
      </c>
      <c r="N21" s="113" t="s">
        <v>138</v>
      </c>
      <c r="Q21" s="71"/>
      <c r="R21" s="71"/>
      <c r="T21" s="71"/>
      <c r="U21" s="71"/>
    </row>
    <row r="22" spans="1:21" x14ac:dyDescent="0.25">
      <c r="A22" s="71"/>
      <c r="D22" s="71" t="s">
        <v>108</v>
      </c>
      <c r="F22" s="71" t="s">
        <v>106</v>
      </c>
      <c r="G22" s="98" t="s">
        <v>111</v>
      </c>
      <c r="H22" s="113" t="s">
        <v>139</v>
      </c>
      <c r="I22" s="73"/>
      <c r="J22" s="73"/>
      <c r="K22" s="71"/>
      <c r="L22" s="71"/>
      <c r="M22" s="71"/>
      <c r="Q22" s="71"/>
      <c r="R22" s="71"/>
      <c r="T22" s="71"/>
      <c r="U22" s="71"/>
    </row>
    <row r="23" spans="1:21" x14ac:dyDescent="0.25">
      <c r="A23" s="71"/>
      <c r="E23" s="93" t="s">
        <v>24</v>
      </c>
      <c r="F23" s="71" t="s">
        <v>107</v>
      </c>
      <c r="G23" s="98" t="s">
        <v>110</v>
      </c>
      <c r="H23" s="113" t="s">
        <v>140</v>
      </c>
      <c r="I23" s="73"/>
      <c r="J23" s="73"/>
      <c r="K23" s="71"/>
      <c r="L23" s="71"/>
      <c r="M23" s="71"/>
      <c r="Q23" s="71"/>
      <c r="R23" s="71"/>
      <c r="T23" s="71"/>
      <c r="U23" s="71"/>
    </row>
    <row r="24" spans="1:21" x14ac:dyDescent="0.25">
      <c r="A24" s="71"/>
      <c r="C24" s="72"/>
      <c r="D24" s="72"/>
      <c r="E24" s="111" t="s">
        <v>134</v>
      </c>
      <c r="F24" s="73" t="s">
        <v>108</v>
      </c>
      <c r="G24" s="98" t="s">
        <v>109</v>
      </c>
      <c r="H24" s="113" t="s">
        <v>138</v>
      </c>
      <c r="I24" s="73"/>
      <c r="J24" s="73"/>
      <c r="K24" s="73"/>
      <c r="L24" s="73"/>
      <c r="M24" s="71"/>
      <c r="N24" s="71"/>
      <c r="P24" s="71"/>
      <c r="Q24" s="71"/>
      <c r="R24" s="71"/>
      <c r="S24" s="71"/>
      <c r="T24" s="71"/>
      <c r="U24" s="71"/>
    </row>
    <row r="25" spans="1:21" x14ac:dyDescent="0.25">
      <c r="A25" s="71"/>
      <c r="B25" s="71" t="s">
        <v>108</v>
      </c>
      <c r="C25" s="75"/>
      <c r="D25" s="75"/>
      <c r="F25" s="71" t="s">
        <v>106</v>
      </c>
      <c r="G25" s="98" t="s">
        <v>111</v>
      </c>
      <c r="H25" s="111" t="s">
        <v>139</v>
      </c>
      <c r="I25" s="73"/>
      <c r="J25" s="73"/>
      <c r="K25" s="71"/>
      <c r="L25" s="71"/>
      <c r="M25" s="71"/>
      <c r="N25" s="71"/>
      <c r="P25" s="71"/>
      <c r="Q25" s="71"/>
      <c r="R25" s="71"/>
      <c r="S25" s="71"/>
      <c r="T25" s="71"/>
      <c r="U25" s="71"/>
    </row>
    <row r="26" spans="1:21" x14ac:dyDescent="0.25">
      <c r="A26" s="71"/>
      <c r="E26" s="93" t="s">
        <v>24</v>
      </c>
      <c r="F26" s="71" t="s">
        <v>107</v>
      </c>
      <c r="G26" s="98" t="s">
        <v>110</v>
      </c>
      <c r="H26" s="111" t="s">
        <v>140</v>
      </c>
      <c r="I26" s="73"/>
      <c r="J26" s="73"/>
      <c r="K26" s="71"/>
      <c r="L26" s="71"/>
      <c r="M26" s="71"/>
      <c r="N26" s="71"/>
      <c r="P26" s="71"/>
      <c r="Q26" s="71"/>
      <c r="R26" s="71"/>
      <c r="S26" s="71"/>
      <c r="T26" s="71"/>
      <c r="U26" s="71"/>
    </row>
    <row r="27" spans="1:21" x14ac:dyDescent="0.25">
      <c r="A27" s="71"/>
      <c r="B27" s="71"/>
      <c r="D27" s="71" t="s">
        <v>106</v>
      </c>
      <c r="E27" s="111" t="s">
        <v>134</v>
      </c>
      <c r="F27" s="73" t="s">
        <v>108</v>
      </c>
      <c r="G27" s="98" t="s">
        <v>109</v>
      </c>
      <c r="H27" s="111" t="s">
        <v>138</v>
      </c>
      <c r="I27" s="73"/>
      <c r="J27" s="73"/>
      <c r="K27" s="73"/>
      <c r="L27" s="73"/>
      <c r="M27" s="71"/>
      <c r="N27" s="71"/>
      <c r="P27" s="71"/>
      <c r="Q27" s="71"/>
      <c r="R27" s="71"/>
      <c r="S27" s="71"/>
      <c r="T27" s="71"/>
      <c r="U27" s="71"/>
    </row>
    <row r="28" spans="1:21" x14ac:dyDescent="0.25">
      <c r="A28" s="71"/>
      <c r="B28" s="71"/>
      <c r="F28" s="71" t="s">
        <v>106</v>
      </c>
      <c r="G28" s="98" t="s">
        <v>37</v>
      </c>
      <c r="H28" s="111" t="s">
        <v>136</v>
      </c>
      <c r="I28" s="111"/>
      <c r="J28" s="73"/>
      <c r="K28" s="71"/>
      <c r="L28" s="71"/>
      <c r="M28" s="71"/>
      <c r="N28" s="71"/>
      <c r="P28" s="71"/>
      <c r="Q28" s="71"/>
      <c r="R28" s="71"/>
      <c r="S28" s="71"/>
      <c r="T28" s="71"/>
      <c r="U28" s="71"/>
    </row>
    <row r="29" spans="1:21" x14ac:dyDescent="0.25">
      <c r="A29" s="71"/>
      <c r="B29" s="71"/>
      <c r="C29" s="93" t="s">
        <v>15</v>
      </c>
      <c r="D29" s="71" t="s">
        <v>107</v>
      </c>
      <c r="E29" s="93" t="s">
        <v>26</v>
      </c>
      <c r="F29" s="71" t="s">
        <v>107</v>
      </c>
      <c r="G29" s="98" t="s">
        <v>27</v>
      </c>
      <c r="H29" s="111" t="s">
        <v>137</v>
      </c>
      <c r="I29" s="73"/>
      <c r="J29" s="73"/>
      <c r="K29" s="71"/>
      <c r="L29" s="71"/>
      <c r="M29" s="71"/>
      <c r="N29" s="71"/>
      <c r="P29" s="71"/>
      <c r="Q29" s="71"/>
      <c r="R29" s="71"/>
      <c r="S29" s="71"/>
      <c r="T29" s="71"/>
      <c r="U29" s="71"/>
    </row>
    <row r="30" spans="1:21" x14ac:dyDescent="0.25">
      <c r="A30" s="71"/>
      <c r="B30" s="71"/>
      <c r="C30" s="110" t="s">
        <v>133</v>
      </c>
      <c r="E30" s="111" t="s">
        <v>132</v>
      </c>
      <c r="F30" s="73" t="s">
        <v>108</v>
      </c>
      <c r="G30" s="98" t="s">
        <v>24</v>
      </c>
      <c r="H30" s="112" t="s">
        <v>134</v>
      </c>
      <c r="I30" s="111"/>
      <c r="J30" s="73"/>
      <c r="K30" s="73"/>
      <c r="L30" s="73"/>
      <c r="M30" s="71"/>
      <c r="N30" s="71"/>
      <c r="P30" s="71"/>
      <c r="Q30" s="71"/>
      <c r="R30" s="71"/>
      <c r="S30" s="71"/>
      <c r="T30" s="71"/>
      <c r="U30" s="71"/>
    </row>
    <row r="31" spans="1:21" x14ac:dyDescent="0.25">
      <c r="A31" s="71"/>
      <c r="B31" s="71"/>
      <c r="D31" s="71" t="s">
        <v>108</v>
      </c>
      <c r="E31" s="79"/>
      <c r="F31" s="71" t="s">
        <v>106</v>
      </c>
      <c r="G31" s="98" t="s">
        <v>26</v>
      </c>
      <c r="H31" s="112" t="s">
        <v>132</v>
      </c>
      <c r="I31" s="111"/>
      <c r="J31" s="73"/>
      <c r="K31" s="71"/>
      <c r="L31" s="71"/>
      <c r="M31" s="71"/>
      <c r="N31" s="71"/>
      <c r="P31" s="71"/>
      <c r="Q31" s="71"/>
      <c r="R31" s="71"/>
      <c r="S31" s="71"/>
      <c r="T31" s="71"/>
      <c r="U31" s="71"/>
    </row>
    <row r="32" spans="1:21" x14ac:dyDescent="0.25">
      <c r="A32" s="71"/>
      <c r="B32" s="71"/>
      <c r="E32" s="93" t="s">
        <v>15</v>
      </c>
      <c r="F32" s="71" t="s">
        <v>107</v>
      </c>
      <c r="G32" s="98" t="s">
        <v>24</v>
      </c>
      <c r="H32" s="112" t="s">
        <v>134</v>
      </c>
      <c r="I32" s="111"/>
      <c r="J32" s="73"/>
      <c r="K32" s="71"/>
      <c r="L32" s="71"/>
      <c r="M32" s="71"/>
      <c r="N32" s="71"/>
      <c r="P32" s="71"/>
      <c r="Q32" s="71"/>
      <c r="R32" s="71"/>
      <c r="S32" s="71"/>
      <c r="T32" s="71"/>
      <c r="U32" s="71"/>
    </row>
    <row r="33" spans="1:21" x14ac:dyDescent="0.25">
      <c r="A33" s="71"/>
      <c r="B33" s="71"/>
      <c r="C33" s="72"/>
      <c r="D33" s="72"/>
      <c r="E33" s="111" t="s">
        <v>133</v>
      </c>
      <c r="F33" s="73" t="s">
        <v>108</v>
      </c>
      <c r="G33" s="98" t="s">
        <v>15</v>
      </c>
      <c r="H33" s="112" t="s">
        <v>133</v>
      </c>
      <c r="I33" s="111"/>
      <c r="J33" s="73"/>
      <c r="K33" s="73"/>
      <c r="L33" s="73"/>
      <c r="N33" s="71"/>
      <c r="P33" s="71"/>
      <c r="Q33" s="71"/>
      <c r="R33" s="71"/>
      <c r="S33" s="71"/>
      <c r="T33" s="71"/>
      <c r="U33" s="71"/>
    </row>
    <row r="34" spans="1:21" x14ac:dyDescent="0.25">
      <c r="A34" s="71"/>
      <c r="B34" s="71"/>
      <c r="C34" s="71"/>
      <c r="M34" s="71"/>
      <c r="N34" s="71"/>
      <c r="P34" s="71"/>
      <c r="Q34" s="71"/>
      <c r="R34" s="71"/>
      <c r="S34" s="71"/>
      <c r="T34" s="71"/>
      <c r="U34" s="71"/>
    </row>
    <row r="35" spans="1:21" x14ac:dyDescent="0.25">
      <c r="A35" s="71"/>
      <c r="B35" s="71"/>
      <c r="C35" s="71"/>
      <c r="D35" s="71"/>
      <c r="E35" s="79"/>
      <c r="F35" s="71"/>
      <c r="G35" s="79"/>
      <c r="H35" s="71"/>
      <c r="I35" s="71"/>
      <c r="J35" s="71"/>
      <c r="K35" s="71"/>
      <c r="L35" s="71"/>
      <c r="M35" s="71"/>
      <c r="N35" s="71"/>
      <c r="P35" s="71"/>
      <c r="Q35" s="71"/>
      <c r="R35" s="71"/>
      <c r="S35" s="71"/>
      <c r="T35" s="71"/>
      <c r="U35" s="71"/>
    </row>
    <row r="36" spans="1:21" x14ac:dyDescent="0.25">
      <c r="B36" s="107" t="s">
        <v>120</v>
      </c>
      <c r="C36" s="108"/>
      <c r="D36" s="108"/>
      <c r="E36" s="109"/>
      <c r="G36" s="79"/>
      <c r="H36" s="71"/>
      <c r="I36" s="71"/>
      <c r="J36" s="71"/>
      <c r="K36" s="71"/>
      <c r="L36" s="71"/>
      <c r="M36" s="71"/>
      <c r="N36" s="71"/>
    </row>
    <row r="37" spans="1:21" x14ac:dyDescent="0.25">
      <c r="B37" s="83" t="s">
        <v>12</v>
      </c>
      <c r="C37" s="84" t="s">
        <v>131</v>
      </c>
      <c r="D37" s="105" t="s">
        <v>119</v>
      </c>
      <c r="E37" s="106"/>
      <c r="G37" s="79"/>
      <c r="H37" s="71"/>
      <c r="I37" s="71"/>
      <c r="J37" s="71"/>
      <c r="K37" s="71"/>
      <c r="L37" s="71"/>
      <c r="M37" s="71"/>
      <c r="N37" s="71"/>
    </row>
    <row r="38" spans="1:21" x14ac:dyDescent="0.25">
      <c r="A38" t="s">
        <v>135</v>
      </c>
      <c r="B38" s="100" t="s">
        <v>85</v>
      </c>
      <c r="C38" s="101" t="s">
        <v>15</v>
      </c>
      <c r="D38" s="103" t="s">
        <v>118</v>
      </c>
      <c r="E38" s="104"/>
    </row>
    <row r="39" spans="1:21" x14ac:dyDescent="0.25">
      <c r="A39" t="s">
        <v>135</v>
      </c>
      <c r="B39" s="100" t="s">
        <v>86</v>
      </c>
      <c r="C39" s="101" t="s">
        <v>24</v>
      </c>
      <c r="D39" s="103" t="s">
        <v>118</v>
      </c>
      <c r="E39" s="104"/>
    </row>
    <row r="40" spans="1:21" x14ac:dyDescent="0.25">
      <c r="A40" t="s">
        <v>135</v>
      </c>
      <c r="B40" s="100" t="s">
        <v>87</v>
      </c>
      <c r="C40" s="101" t="s">
        <v>26</v>
      </c>
      <c r="D40" s="103" t="s">
        <v>118</v>
      </c>
      <c r="E40" s="104"/>
    </row>
    <row r="41" spans="1:21" x14ac:dyDescent="0.25">
      <c r="A41" t="s">
        <v>135</v>
      </c>
      <c r="B41" s="100" t="s">
        <v>88</v>
      </c>
      <c r="C41" s="101" t="s">
        <v>37</v>
      </c>
      <c r="D41" s="103" t="s">
        <v>118</v>
      </c>
      <c r="E41" s="104"/>
    </row>
    <row r="42" spans="1:21" x14ac:dyDescent="0.25">
      <c r="A42" t="s">
        <v>135</v>
      </c>
      <c r="B42" s="100" t="s">
        <v>89</v>
      </c>
      <c r="C42" s="101" t="s">
        <v>27</v>
      </c>
      <c r="D42" s="103" t="s">
        <v>118</v>
      </c>
      <c r="E42" s="104"/>
    </row>
    <row r="43" spans="1:21" x14ac:dyDescent="0.25">
      <c r="A43" t="s">
        <v>135</v>
      </c>
      <c r="B43" s="100" t="s">
        <v>90</v>
      </c>
      <c r="C43" s="101" t="s">
        <v>109</v>
      </c>
      <c r="D43" s="103" t="s">
        <v>118</v>
      </c>
      <c r="E43" s="104"/>
    </row>
    <row r="44" spans="1:21" x14ac:dyDescent="0.25">
      <c r="A44" t="s">
        <v>135</v>
      </c>
      <c r="B44" s="100" t="s">
        <v>91</v>
      </c>
      <c r="C44" s="101" t="s">
        <v>111</v>
      </c>
      <c r="D44" s="103" t="s">
        <v>118</v>
      </c>
      <c r="E44" s="104"/>
    </row>
    <row r="45" spans="1:21" x14ac:dyDescent="0.25">
      <c r="A45" t="s">
        <v>135</v>
      </c>
      <c r="B45" s="100" t="s">
        <v>92</v>
      </c>
      <c r="C45" s="101" t="s">
        <v>110</v>
      </c>
      <c r="D45" s="103" t="s">
        <v>118</v>
      </c>
      <c r="E45" s="104"/>
    </row>
    <row r="46" spans="1:21" x14ac:dyDescent="0.25">
      <c r="A46" t="s">
        <v>135</v>
      </c>
      <c r="B46" s="100" t="s">
        <v>93</v>
      </c>
      <c r="C46" s="101" t="s">
        <v>114</v>
      </c>
      <c r="D46" s="103" t="s">
        <v>118</v>
      </c>
      <c r="E46" s="104"/>
    </row>
    <row r="47" spans="1:21" x14ac:dyDescent="0.25">
      <c r="A47" t="s">
        <v>135</v>
      </c>
      <c r="B47" s="100" t="s">
        <v>94</v>
      </c>
      <c r="C47" s="101" t="s">
        <v>113</v>
      </c>
      <c r="D47" s="103" t="s">
        <v>118</v>
      </c>
      <c r="E47" s="104"/>
    </row>
    <row r="48" spans="1:21" x14ac:dyDescent="0.25">
      <c r="A48" t="s">
        <v>135</v>
      </c>
      <c r="B48" s="100" t="s">
        <v>95</v>
      </c>
      <c r="C48" s="101" t="s">
        <v>112</v>
      </c>
      <c r="D48" s="103" t="s">
        <v>118</v>
      </c>
      <c r="E48" s="104"/>
    </row>
    <row r="49" spans="1:5" x14ac:dyDescent="0.25">
      <c r="A49" t="s">
        <v>135</v>
      </c>
      <c r="B49" s="100" t="s">
        <v>96</v>
      </c>
      <c r="C49" s="101" t="s">
        <v>116</v>
      </c>
      <c r="D49" s="103" t="s">
        <v>118</v>
      </c>
      <c r="E49" s="104"/>
    </row>
    <row r="50" spans="1:5" x14ac:dyDescent="0.25">
      <c r="B50" s="100" t="s">
        <v>97</v>
      </c>
      <c r="C50" s="101" t="s">
        <v>115</v>
      </c>
      <c r="D50" s="103" t="s">
        <v>118</v>
      </c>
      <c r="E50" s="104"/>
    </row>
    <row r="51" spans="1:5" x14ac:dyDescent="0.25">
      <c r="B51" s="81" t="s">
        <v>98</v>
      </c>
      <c r="C51" s="82" t="s">
        <v>48</v>
      </c>
      <c r="D51" s="193" t="s">
        <v>117</v>
      </c>
      <c r="E51" s="194"/>
    </row>
  </sheetData>
  <autoFilter ref="A6:U33" xr:uid="{5CB789E2-8E99-41B7-8C68-96C94A51161B}"/>
  <mergeCells count="2">
    <mergeCell ref="A1:Q1"/>
    <mergeCell ref="D51:E51"/>
  </mergeCells>
  <phoneticPr fontId="11" type="noConversion"/>
  <conditionalFormatting sqref="A3:A5 C3:C5">
    <cfRule type="duplicateValues" dxfId="44" priority="1"/>
  </conditionalFormatting>
  <conditionalFormatting sqref="B3:B5">
    <cfRule type="duplicateValues" dxfId="43" priority="2"/>
  </conditionalFormatting>
  <conditionalFormatting sqref="B38:B51">
    <cfRule type="duplicateValues" dxfId="42" priority="5"/>
  </conditionalFormatting>
  <conditionalFormatting sqref="C38 S24:S30 S5:S6 C41:C51">
    <cfRule type="duplicateValues" dxfId="41" priority="43"/>
  </conditionalFormatting>
  <conditionalFormatting sqref="E3">
    <cfRule type="duplicateValues" dxfId="40" priority="4"/>
  </conditionalFormatting>
  <conditionalFormatting sqref="E4:E5">
    <cfRule type="duplicateValues" dxfId="39" priority="3"/>
  </conditionalFormatting>
  <conditionalFormatting sqref="L35:L1048576 L2:L15 L22:L33 M16:M21">
    <cfRule type="duplicateValues" dxfId="38" priority="6"/>
  </conditionalFormatting>
  <conditionalFormatting sqref="S26:S28">
    <cfRule type="duplicateValues" dxfId="37" priority="9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7D5-8F81-493D-BB9E-E505C014D566}">
  <dimension ref="A1:AC107"/>
  <sheetViews>
    <sheetView topLeftCell="A90" workbookViewId="0">
      <selection activeCell="B107" sqref="B107"/>
    </sheetView>
  </sheetViews>
  <sheetFormatPr defaultColWidth="8.85546875" defaultRowHeight="15" outlineLevelRow="1" x14ac:dyDescent="0.25"/>
  <cols>
    <col min="1" max="1" width="8.85546875" customWidth="1"/>
    <col min="2" max="2" width="9" customWidth="1"/>
    <col min="3" max="3" width="8.140625" customWidth="1"/>
    <col min="4" max="4" width="6.28515625" customWidth="1"/>
    <col min="5" max="5" width="6.28515625" style="2" customWidth="1"/>
    <col min="6" max="6" width="6.28515625" customWidth="1"/>
    <col min="7" max="7" width="6.28515625" style="2" customWidth="1"/>
    <col min="8" max="8" width="6.28515625" customWidth="1"/>
    <col min="9" max="9" width="6" bestFit="1" customWidth="1"/>
    <col min="10" max="10" width="8.42578125" bestFit="1" customWidth="1"/>
    <col min="11" max="11" width="6.5703125" bestFit="1" customWidth="1"/>
    <col min="12" max="12" width="8.42578125" bestFit="1" customWidth="1"/>
    <col min="13" max="13" width="6" bestFit="1" customWidth="1"/>
    <col min="14" max="14" width="8.42578125" bestFit="1" customWidth="1"/>
    <col min="15" max="15" width="6" bestFit="1" customWidth="1"/>
    <col min="16" max="16" width="16.140625" bestFit="1" customWidth="1"/>
    <col min="17" max="17" width="6" bestFit="1" customWidth="1"/>
    <col min="18" max="21" width="8.85546875" customWidth="1"/>
  </cols>
  <sheetData>
    <row r="1" spans="1:21" ht="15.75" x14ac:dyDescent="0.25">
      <c r="A1" s="181" t="s">
        <v>130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21" x14ac:dyDescent="0.25">
      <c r="A2" s="83" t="s">
        <v>128</v>
      </c>
      <c r="B2" s="84" t="s">
        <v>127</v>
      </c>
      <c r="C2" s="84" t="s">
        <v>129</v>
      </c>
      <c r="E2" s="83" t="s">
        <v>124</v>
      </c>
      <c r="F2" s="83" t="s">
        <v>125</v>
      </c>
      <c r="G2" s="84" t="s">
        <v>126</v>
      </c>
    </row>
    <row r="3" spans="1:21" x14ac:dyDescent="0.25">
      <c r="A3" s="78" t="s">
        <v>106</v>
      </c>
      <c r="B3" s="77" t="s">
        <v>1</v>
      </c>
      <c r="C3" s="87" t="s">
        <v>24</v>
      </c>
      <c r="E3" s="78" t="s">
        <v>121</v>
      </c>
      <c r="F3" s="78">
        <v>9.1399999999999995E-2</v>
      </c>
      <c r="G3" s="85">
        <f>F3</f>
        <v>9.1399999999999995E-2</v>
      </c>
      <c r="M3" s="71"/>
      <c r="S3" s="71"/>
    </row>
    <row r="4" spans="1:21" x14ac:dyDescent="0.25">
      <c r="A4" s="78" t="s">
        <v>107</v>
      </c>
      <c r="B4" s="77">
        <v>737</v>
      </c>
      <c r="C4" s="87" t="s">
        <v>26</v>
      </c>
      <c r="E4" s="78" t="s">
        <v>122</v>
      </c>
      <c r="F4" s="78">
        <v>0.26429999999999998</v>
      </c>
      <c r="G4" s="85">
        <f t="shared" ref="G4:G5" si="0">F4</f>
        <v>0.26429999999999998</v>
      </c>
      <c r="J4" s="116"/>
      <c r="K4" t="s">
        <v>146</v>
      </c>
      <c r="M4" s="71"/>
    </row>
    <row r="5" spans="1:21" x14ac:dyDescent="0.25">
      <c r="A5" s="76" t="s">
        <v>108</v>
      </c>
      <c r="B5" s="88" t="s">
        <v>63</v>
      </c>
      <c r="C5" s="89" t="s">
        <v>15</v>
      </c>
      <c r="E5" s="76" t="s">
        <v>123</v>
      </c>
      <c r="F5" s="76">
        <v>0.64429999999999998</v>
      </c>
      <c r="G5" s="86">
        <f t="shared" si="0"/>
        <v>0.64429999999999998</v>
      </c>
      <c r="M5" s="71"/>
      <c r="S5" s="71"/>
    </row>
    <row r="6" spans="1:21" x14ac:dyDescent="0.25">
      <c r="B6" s="71"/>
      <c r="E6" s="7"/>
      <c r="F6" s="72"/>
      <c r="G6" s="80"/>
      <c r="H6" s="73"/>
      <c r="I6" s="73" t="s">
        <v>106</v>
      </c>
      <c r="J6" s="73"/>
      <c r="K6" s="73" t="s">
        <v>107</v>
      </c>
      <c r="L6" s="73"/>
      <c r="M6" s="71" t="s">
        <v>28</v>
      </c>
      <c r="S6" s="71"/>
    </row>
    <row r="7" spans="1:21" x14ac:dyDescent="0.25">
      <c r="B7" s="71"/>
      <c r="C7" s="90"/>
      <c r="D7" s="90"/>
      <c r="E7" s="91"/>
      <c r="F7" s="94" t="s">
        <v>106</v>
      </c>
      <c r="G7" s="98" t="s">
        <v>111</v>
      </c>
      <c r="H7" s="113" t="s">
        <v>139</v>
      </c>
      <c r="I7" s="73"/>
      <c r="J7" s="73"/>
      <c r="K7" s="71"/>
      <c r="L7" s="71"/>
      <c r="M7" s="71"/>
    </row>
    <row r="8" spans="1:21" x14ac:dyDescent="0.25">
      <c r="C8" s="92"/>
      <c r="D8" s="92"/>
      <c r="E8" s="93" t="s">
        <v>111</v>
      </c>
      <c r="F8" s="94" t="s">
        <v>107</v>
      </c>
      <c r="G8" s="98" t="s">
        <v>110</v>
      </c>
      <c r="H8" s="113" t="s">
        <v>140</v>
      </c>
      <c r="I8" s="73"/>
      <c r="J8" s="73"/>
      <c r="K8" s="71"/>
      <c r="L8" s="71"/>
      <c r="M8" s="71"/>
    </row>
    <row r="9" spans="1:21" x14ac:dyDescent="0.25">
      <c r="C9" s="92"/>
      <c r="D9" s="94" t="s">
        <v>106</v>
      </c>
      <c r="E9" s="111" t="s">
        <v>139</v>
      </c>
      <c r="F9" s="99" t="s">
        <v>108</v>
      </c>
      <c r="G9" s="98" t="s">
        <v>109</v>
      </c>
      <c r="H9" s="113" t="s">
        <v>138</v>
      </c>
      <c r="I9" s="73"/>
      <c r="J9" s="73"/>
      <c r="K9" s="73"/>
      <c r="L9" s="73"/>
      <c r="M9" s="71"/>
      <c r="Q9" s="71"/>
      <c r="R9" s="71"/>
      <c r="U9" s="71"/>
    </row>
    <row r="10" spans="1:21" x14ac:dyDescent="0.25">
      <c r="C10" s="92"/>
      <c r="D10" s="92"/>
      <c r="E10" s="95"/>
      <c r="F10" s="102" t="s">
        <v>106</v>
      </c>
      <c r="G10" s="98" t="s">
        <v>37</v>
      </c>
      <c r="H10" s="113" t="s">
        <v>136</v>
      </c>
      <c r="I10" s="111"/>
      <c r="J10" s="73"/>
      <c r="K10" s="71"/>
      <c r="L10" s="74"/>
      <c r="M10" s="71"/>
      <c r="Q10" s="71"/>
      <c r="R10" s="71"/>
      <c r="U10" s="71"/>
    </row>
    <row r="11" spans="1:21" x14ac:dyDescent="0.25">
      <c r="C11" s="117" t="s">
        <v>24</v>
      </c>
      <c r="D11" s="94" t="s">
        <v>107</v>
      </c>
      <c r="E11" s="93" t="s">
        <v>110</v>
      </c>
      <c r="F11" s="94" t="s">
        <v>107</v>
      </c>
      <c r="G11" s="98" t="s">
        <v>27</v>
      </c>
      <c r="H11" s="113" t="s">
        <v>137</v>
      </c>
      <c r="I11" s="73"/>
      <c r="J11" s="73"/>
      <c r="K11" s="71"/>
      <c r="L11" s="71"/>
      <c r="M11" s="71"/>
      <c r="Q11" s="71"/>
      <c r="R11" s="71"/>
      <c r="U11" s="71"/>
    </row>
    <row r="12" spans="1:21" x14ac:dyDescent="0.25">
      <c r="C12" s="110" t="s">
        <v>134</v>
      </c>
      <c r="D12" s="92"/>
      <c r="E12" s="113" t="s">
        <v>140</v>
      </c>
      <c r="F12" s="99" t="s">
        <v>108</v>
      </c>
      <c r="G12" s="98" t="s">
        <v>24</v>
      </c>
      <c r="H12" s="113" t="s">
        <v>134</v>
      </c>
      <c r="I12" s="111"/>
      <c r="J12" s="73"/>
      <c r="K12" s="73"/>
      <c r="L12" s="73"/>
      <c r="M12" s="71"/>
      <c r="Q12" s="71"/>
      <c r="R12" s="71"/>
      <c r="U12" s="71"/>
    </row>
    <row r="13" spans="1:21" x14ac:dyDescent="0.25">
      <c r="C13" s="92"/>
      <c r="D13" s="94" t="s">
        <v>108</v>
      </c>
      <c r="E13" s="117"/>
      <c r="F13" s="117" t="s">
        <v>106</v>
      </c>
      <c r="G13" s="117" t="s">
        <v>24</v>
      </c>
      <c r="H13" s="113" t="s">
        <v>134</v>
      </c>
      <c r="I13" s="111"/>
      <c r="J13" s="73"/>
      <c r="K13" s="71"/>
      <c r="L13" s="74"/>
      <c r="M13" s="71"/>
      <c r="Q13" s="71"/>
      <c r="R13" s="71"/>
      <c r="U13" s="71"/>
    </row>
    <row r="14" spans="1:21" x14ac:dyDescent="0.25">
      <c r="B14" s="94" t="s">
        <v>106</v>
      </c>
      <c r="C14" s="92"/>
      <c r="D14" s="92"/>
      <c r="E14" s="117" t="s">
        <v>109</v>
      </c>
      <c r="F14" s="117" t="s">
        <v>107</v>
      </c>
      <c r="G14" s="117" t="s">
        <v>26</v>
      </c>
      <c r="H14" s="113" t="s">
        <v>132</v>
      </c>
      <c r="I14" s="111"/>
      <c r="J14" s="73"/>
      <c r="K14" s="71"/>
      <c r="L14" s="71"/>
      <c r="M14" s="71"/>
      <c r="Q14" s="71"/>
      <c r="R14" s="71"/>
      <c r="U14" s="71"/>
    </row>
    <row r="15" spans="1:21" x14ac:dyDescent="0.25">
      <c r="C15" s="97"/>
      <c r="D15" s="97"/>
      <c r="E15" s="117" t="s">
        <v>138</v>
      </c>
      <c r="F15" s="117" t="s">
        <v>108</v>
      </c>
      <c r="G15" s="117" t="s">
        <v>15</v>
      </c>
      <c r="H15" s="113" t="s">
        <v>133</v>
      </c>
      <c r="I15" s="111"/>
      <c r="J15" s="73"/>
      <c r="K15" s="73"/>
      <c r="L15" s="73"/>
      <c r="Q15" s="71"/>
      <c r="R15" s="71"/>
      <c r="U15" s="71"/>
    </row>
    <row r="16" spans="1:21" x14ac:dyDescent="0.25">
      <c r="C16" s="90"/>
      <c r="D16" s="90"/>
      <c r="E16" s="91"/>
      <c r="F16" s="94" t="s">
        <v>106</v>
      </c>
      <c r="G16" s="98" t="s">
        <v>114</v>
      </c>
      <c r="H16" s="113" t="s">
        <v>141</v>
      </c>
      <c r="I16" s="99" t="s">
        <v>111</v>
      </c>
      <c r="J16" s="113" t="s">
        <v>139</v>
      </c>
      <c r="K16" s="99" t="s">
        <v>110</v>
      </c>
      <c r="L16" s="113" t="s">
        <v>140</v>
      </c>
      <c r="M16" s="94" t="s">
        <v>109</v>
      </c>
      <c r="N16" s="113" t="s">
        <v>138</v>
      </c>
      <c r="Q16" s="71"/>
      <c r="R16" s="71"/>
      <c r="U16" s="71"/>
    </row>
    <row r="17" spans="1:21" x14ac:dyDescent="0.25">
      <c r="A17" s="117" t="s">
        <v>15</v>
      </c>
      <c r="C17" s="92"/>
      <c r="D17" s="92"/>
      <c r="E17" s="93" t="s">
        <v>37</v>
      </c>
      <c r="F17" s="94" t="s">
        <v>107</v>
      </c>
      <c r="G17" s="98" t="s">
        <v>113</v>
      </c>
      <c r="H17" s="113" t="s">
        <v>142</v>
      </c>
      <c r="I17" s="99" t="s">
        <v>37</v>
      </c>
      <c r="J17" s="113" t="s">
        <v>136</v>
      </c>
      <c r="K17" s="99" t="s">
        <v>27</v>
      </c>
      <c r="L17" s="113" t="s">
        <v>137</v>
      </c>
      <c r="M17" s="71" t="s">
        <v>24</v>
      </c>
      <c r="N17" s="113" t="s">
        <v>134</v>
      </c>
      <c r="Q17" s="71"/>
      <c r="R17" s="71"/>
      <c r="U17" s="71"/>
    </row>
    <row r="18" spans="1:21" x14ac:dyDescent="0.25">
      <c r="A18" s="110" t="s">
        <v>133</v>
      </c>
      <c r="C18" s="92"/>
      <c r="D18" s="94" t="s">
        <v>106</v>
      </c>
      <c r="E18" s="113" t="s">
        <v>136</v>
      </c>
      <c r="F18" s="99" t="s">
        <v>108</v>
      </c>
      <c r="G18" s="98" t="s">
        <v>112</v>
      </c>
      <c r="H18" s="113" t="s">
        <v>143</v>
      </c>
      <c r="I18" s="114" t="s">
        <v>24</v>
      </c>
      <c r="J18" s="115" t="s">
        <v>134</v>
      </c>
      <c r="K18" s="114" t="s">
        <v>26</v>
      </c>
      <c r="L18" s="115" t="s">
        <v>132</v>
      </c>
      <c r="M18" s="73" t="s">
        <v>15</v>
      </c>
      <c r="N18" s="113" t="s">
        <v>133</v>
      </c>
      <c r="Q18" s="71"/>
      <c r="R18" s="71"/>
      <c r="U18" s="71"/>
    </row>
    <row r="19" spans="1:21" x14ac:dyDescent="0.25">
      <c r="A19" s="71"/>
      <c r="B19" s="94" t="s">
        <v>107</v>
      </c>
      <c r="D19" s="92"/>
      <c r="E19" s="91"/>
      <c r="F19" s="94" t="s">
        <v>106</v>
      </c>
      <c r="G19" s="98" t="s">
        <v>116</v>
      </c>
      <c r="H19" s="113" t="s">
        <v>144</v>
      </c>
      <c r="I19" s="99" t="s">
        <v>114</v>
      </c>
      <c r="J19" s="113" t="s">
        <v>141</v>
      </c>
      <c r="K19" s="99" t="s">
        <v>113</v>
      </c>
      <c r="L19" s="113" t="s">
        <v>142</v>
      </c>
      <c r="M19" s="94" t="s">
        <v>112</v>
      </c>
      <c r="N19" s="113" t="s">
        <v>143</v>
      </c>
      <c r="Q19" s="71"/>
      <c r="R19" s="71"/>
      <c r="U19" s="71"/>
    </row>
    <row r="20" spans="1:21" x14ac:dyDescent="0.25">
      <c r="A20" s="71"/>
      <c r="C20" s="93" t="s">
        <v>26</v>
      </c>
      <c r="D20" s="92" t="s">
        <v>107</v>
      </c>
      <c r="E20" s="93" t="s">
        <v>27</v>
      </c>
      <c r="F20" s="94" t="s">
        <v>107</v>
      </c>
      <c r="G20" s="98" t="s">
        <v>115</v>
      </c>
      <c r="H20" s="113" t="s">
        <v>145</v>
      </c>
      <c r="I20" s="99" t="s">
        <v>116</v>
      </c>
      <c r="J20" s="113" t="s">
        <v>144</v>
      </c>
      <c r="K20" s="99" t="s">
        <v>115</v>
      </c>
      <c r="L20" s="113" t="s">
        <v>145</v>
      </c>
      <c r="M20" s="94" t="s">
        <v>111</v>
      </c>
      <c r="N20" s="113" t="s">
        <v>139</v>
      </c>
      <c r="Q20" s="71"/>
      <c r="R20" s="71"/>
      <c r="U20" s="71"/>
    </row>
    <row r="21" spans="1:21" x14ac:dyDescent="0.25">
      <c r="A21" s="71"/>
      <c r="C21" s="110" t="s">
        <v>132</v>
      </c>
      <c r="D21" s="92"/>
      <c r="E21" s="113" t="s">
        <v>137</v>
      </c>
      <c r="F21" s="99" t="s">
        <v>108</v>
      </c>
      <c r="G21" s="98" t="s">
        <v>111</v>
      </c>
      <c r="H21" s="113" t="s">
        <v>139</v>
      </c>
      <c r="I21" s="99" t="s">
        <v>111</v>
      </c>
      <c r="J21" s="113" t="s">
        <v>139</v>
      </c>
      <c r="K21" s="99" t="s">
        <v>110</v>
      </c>
      <c r="L21" s="113" t="s">
        <v>140</v>
      </c>
      <c r="M21" s="99" t="s">
        <v>109</v>
      </c>
      <c r="N21" s="113" t="s">
        <v>138</v>
      </c>
      <c r="Q21" s="71"/>
      <c r="R21" s="71"/>
      <c r="T21" s="71"/>
      <c r="U21" s="71"/>
    </row>
    <row r="22" spans="1:21" x14ac:dyDescent="0.25">
      <c r="A22" s="71"/>
      <c r="D22" s="71" t="s">
        <v>108</v>
      </c>
      <c r="F22" s="71" t="s">
        <v>106</v>
      </c>
      <c r="G22" s="98" t="s">
        <v>111</v>
      </c>
      <c r="H22" s="113" t="s">
        <v>139</v>
      </c>
      <c r="I22" s="73"/>
      <c r="J22" s="73"/>
      <c r="K22" s="71"/>
      <c r="L22" s="71"/>
      <c r="M22" s="71"/>
      <c r="Q22" s="71"/>
      <c r="R22" s="71"/>
      <c r="T22" s="71"/>
      <c r="U22" s="71"/>
    </row>
    <row r="23" spans="1:21" x14ac:dyDescent="0.25">
      <c r="A23" s="71"/>
      <c r="E23" s="93" t="s">
        <v>24</v>
      </c>
      <c r="F23" s="71" t="s">
        <v>107</v>
      </c>
      <c r="G23" s="98" t="s">
        <v>110</v>
      </c>
      <c r="H23" s="113" t="s">
        <v>140</v>
      </c>
      <c r="I23" s="73"/>
      <c r="J23" s="73"/>
      <c r="K23" s="71"/>
      <c r="L23" s="71"/>
      <c r="M23" s="71"/>
      <c r="Q23" s="71"/>
      <c r="R23" s="71"/>
      <c r="T23" s="71"/>
      <c r="U23" s="71"/>
    </row>
    <row r="24" spans="1:21" x14ac:dyDescent="0.25">
      <c r="A24" s="71"/>
      <c r="C24" s="72"/>
      <c r="D24" s="72"/>
      <c r="E24" s="111" t="s">
        <v>134</v>
      </c>
      <c r="F24" s="73" t="s">
        <v>108</v>
      </c>
      <c r="G24" s="98" t="s">
        <v>109</v>
      </c>
      <c r="H24" s="113" t="s">
        <v>138</v>
      </c>
      <c r="I24" s="73"/>
      <c r="J24" s="73"/>
      <c r="K24" s="73"/>
      <c r="L24" s="73"/>
      <c r="M24" s="71"/>
      <c r="N24" s="71"/>
      <c r="P24" s="71"/>
      <c r="Q24" s="71"/>
      <c r="R24" s="71"/>
      <c r="S24" s="71"/>
      <c r="T24" s="71"/>
      <c r="U24" s="71"/>
    </row>
    <row r="25" spans="1:21" x14ac:dyDescent="0.25">
      <c r="A25" s="71"/>
      <c r="B25" s="71" t="s">
        <v>108</v>
      </c>
      <c r="C25" s="75"/>
      <c r="D25" s="75"/>
      <c r="F25" s="71" t="s">
        <v>106</v>
      </c>
      <c r="G25" s="98" t="s">
        <v>111</v>
      </c>
      <c r="H25" s="111" t="s">
        <v>139</v>
      </c>
      <c r="I25" s="73"/>
      <c r="J25" s="73"/>
      <c r="K25" s="71"/>
      <c r="L25" s="71"/>
      <c r="M25" s="71"/>
      <c r="N25" s="71"/>
      <c r="P25" s="71"/>
      <c r="Q25" s="71"/>
      <c r="R25" s="71"/>
      <c r="S25" s="71"/>
      <c r="T25" s="71"/>
      <c r="U25" s="71"/>
    </row>
    <row r="26" spans="1:21" x14ac:dyDescent="0.25">
      <c r="A26" s="71"/>
      <c r="E26" s="93" t="s">
        <v>24</v>
      </c>
      <c r="F26" s="71" t="s">
        <v>107</v>
      </c>
      <c r="G26" s="98" t="s">
        <v>110</v>
      </c>
      <c r="H26" s="111" t="s">
        <v>140</v>
      </c>
      <c r="I26" s="73"/>
      <c r="J26" s="73"/>
      <c r="K26" s="71"/>
      <c r="L26" s="71"/>
      <c r="M26" s="71"/>
      <c r="N26" s="71"/>
      <c r="P26" s="71"/>
      <c r="Q26" s="71"/>
      <c r="R26" s="71"/>
      <c r="S26" s="71"/>
      <c r="T26" s="71"/>
      <c r="U26" s="71"/>
    </row>
    <row r="27" spans="1:21" x14ac:dyDescent="0.25">
      <c r="A27" s="71"/>
      <c r="B27" s="71"/>
      <c r="D27" s="71" t="s">
        <v>106</v>
      </c>
      <c r="E27" s="111" t="s">
        <v>134</v>
      </c>
      <c r="F27" s="73" t="s">
        <v>108</v>
      </c>
      <c r="G27" s="98" t="s">
        <v>109</v>
      </c>
      <c r="H27" s="111" t="s">
        <v>138</v>
      </c>
      <c r="I27" s="73"/>
      <c r="J27" s="73"/>
      <c r="K27" s="73"/>
      <c r="L27" s="73"/>
      <c r="M27" s="71"/>
      <c r="N27" s="71"/>
      <c r="P27" s="71"/>
      <c r="Q27" s="71"/>
      <c r="R27" s="71"/>
      <c r="S27" s="71"/>
      <c r="T27" s="71"/>
      <c r="U27" s="71"/>
    </row>
    <row r="28" spans="1:21" x14ac:dyDescent="0.25">
      <c r="A28" s="71"/>
      <c r="B28" s="71"/>
      <c r="F28" s="71" t="s">
        <v>106</v>
      </c>
      <c r="G28" s="98" t="s">
        <v>37</v>
      </c>
      <c r="H28" s="111" t="s">
        <v>136</v>
      </c>
      <c r="I28" s="111"/>
      <c r="J28" s="73"/>
      <c r="K28" s="71"/>
      <c r="L28" s="71"/>
      <c r="M28" s="71"/>
      <c r="N28" s="71"/>
      <c r="P28" s="71"/>
      <c r="Q28" s="71"/>
      <c r="R28" s="71"/>
      <c r="S28" s="71"/>
      <c r="T28" s="71"/>
      <c r="U28" s="71"/>
    </row>
    <row r="29" spans="1:21" x14ac:dyDescent="0.25">
      <c r="A29" s="71"/>
      <c r="B29" s="71"/>
      <c r="C29" s="93" t="s">
        <v>15</v>
      </c>
      <c r="D29" s="71" t="s">
        <v>107</v>
      </c>
      <c r="E29" s="93" t="s">
        <v>26</v>
      </c>
      <c r="F29" s="71" t="s">
        <v>107</v>
      </c>
      <c r="G29" s="98" t="s">
        <v>27</v>
      </c>
      <c r="H29" s="111" t="s">
        <v>137</v>
      </c>
      <c r="I29" s="73"/>
      <c r="J29" s="73"/>
      <c r="K29" s="71"/>
      <c r="L29" s="71"/>
      <c r="M29" s="71"/>
      <c r="N29" s="71"/>
      <c r="P29" s="71"/>
      <c r="Q29" s="71"/>
      <c r="R29" s="71"/>
      <c r="S29" s="71"/>
      <c r="T29" s="71"/>
      <c r="U29" s="71"/>
    </row>
    <row r="30" spans="1:21" x14ac:dyDescent="0.25">
      <c r="A30" s="71"/>
      <c r="B30" s="71"/>
      <c r="C30" s="110" t="s">
        <v>133</v>
      </c>
      <c r="E30" s="111" t="s">
        <v>132</v>
      </c>
      <c r="F30" s="73" t="s">
        <v>108</v>
      </c>
      <c r="G30" s="98" t="s">
        <v>24</v>
      </c>
      <c r="H30" s="112" t="s">
        <v>134</v>
      </c>
      <c r="I30" s="111"/>
      <c r="J30" s="73"/>
      <c r="K30" s="73"/>
      <c r="L30" s="73"/>
      <c r="M30" s="71"/>
      <c r="N30" s="71"/>
      <c r="P30" s="71"/>
      <c r="Q30" s="71"/>
      <c r="R30" s="71"/>
      <c r="S30" s="71"/>
      <c r="T30" s="71"/>
      <c r="U30" s="71"/>
    </row>
    <row r="31" spans="1:21" x14ac:dyDescent="0.25">
      <c r="A31" s="71"/>
      <c r="B31" s="71"/>
      <c r="D31" s="71" t="s">
        <v>108</v>
      </c>
      <c r="E31" s="79"/>
      <c r="F31" s="71" t="s">
        <v>106</v>
      </c>
      <c r="G31" s="98" t="s">
        <v>26</v>
      </c>
      <c r="H31" s="112" t="s">
        <v>132</v>
      </c>
      <c r="I31" s="111"/>
      <c r="J31" s="73"/>
      <c r="K31" s="71"/>
      <c r="L31" s="71"/>
      <c r="M31" s="71"/>
      <c r="N31" s="71"/>
      <c r="P31" s="71"/>
      <c r="Q31" s="71"/>
      <c r="R31" s="71"/>
      <c r="S31" s="71"/>
      <c r="T31" s="71"/>
      <c r="U31" s="71"/>
    </row>
    <row r="32" spans="1:21" x14ac:dyDescent="0.25">
      <c r="A32" s="71"/>
      <c r="B32" s="71"/>
      <c r="E32" s="93" t="s">
        <v>15</v>
      </c>
      <c r="F32" s="71" t="s">
        <v>107</v>
      </c>
      <c r="G32" s="98" t="s">
        <v>24</v>
      </c>
      <c r="H32" s="112" t="s">
        <v>134</v>
      </c>
      <c r="I32" s="111"/>
      <c r="J32" s="73"/>
      <c r="K32" s="71"/>
      <c r="L32" s="71"/>
      <c r="M32" s="71"/>
      <c r="N32" s="71"/>
      <c r="P32" s="71"/>
      <c r="Q32" s="71"/>
      <c r="R32" s="71"/>
      <c r="S32" s="71"/>
      <c r="T32" s="71"/>
      <c r="U32" s="71"/>
    </row>
    <row r="33" spans="1:21" x14ac:dyDescent="0.25">
      <c r="A33" s="71"/>
      <c r="B33" s="71"/>
      <c r="C33" s="72"/>
      <c r="D33" s="72"/>
      <c r="E33" s="111" t="s">
        <v>133</v>
      </c>
      <c r="F33" s="73" t="s">
        <v>108</v>
      </c>
      <c r="G33" s="98" t="s">
        <v>15</v>
      </c>
      <c r="H33" s="112" t="s">
        <v>133</v>
      </c>
      <c r="I33" s="111"/>
      <c r="J33" s="73"/>
      <c r="K33" s="73"/>
      <c r="L33" s="73"/>
      <c r="N33" s="71"/>
      <c r="P33" s="71"/>
      <c r="Q33" s="71"/>
      <c r="R33" s="71"/>
      <c r="S33" s="71"/>
      <c r="T33" s="71"/>
      <c r="U33" s="71"/>
    </row>
    <row r="34" spans="1:21" hidden="1" outlineLevel="1" x14ac:dyDescent="0.25">
      <c r="A34" s="71"/>
      <c r="B34" s="71"/>
      <c r="C34" s="71"/>
      <c r="M34" s="71"/>
      <c r="N34" s="71"/>
      <c r="P34" s="71"/>
      <c r="Q34" s="71"/>
      <c r="R34" s="71"/>
      <c r="S34" s="71"/>
      <c r="T34" s="71"/>
      <c r="U34" s="71"/>
    </row>
    <row r="35" spans="1:21" hidden="1" outlineLevel="1" x14ac:dyDescent="0.25">
      <c r="A35" s="71"/>
      <c r="B35" s="71"/>
      <c r="C35" s="71"/>
      <c r="D35" s="71"/>
      <c r="E35" s="79"/>
      <c r="F35" s="71"/>
      <c r="G35" s="79"/>
      <c r="H35" s="71"/>
      <c r="I35" s="71"/>
      <c r="J35" s="71"/>
      <c r="K35" s="71"/>
      <c r="L35" s="71"/>
      <c r="M35" s="71"/>
      <c r="N35" s="71"/>
      <c r="P35" s="71"/>
      <c r="Q35" s="71"/>
      <c r="R35" s="71"/>
      <c r="S35" s="71"/>
      <c r="T35" s="71"/>
      <c r="U35" s="71"/>
    </row>
    <row r="36" spans="1:21" hidden="1" outlineLevel="1" x14ac:dyDescent="0.25">
      <c r="B36" s="107" t="s">
        <v>120</v>
      </c>
      <c r="C36" s="108"/>
      <c r="D36" s="108"/>
      <c r="E36" s="109"/>
      <c r="G36" s="79"/>
      <c r="H36" s="71"/>
      <c r="I36" s="71"/>
      <c r="J36" s="71"/>
      <c r="K36" s="71"/>
      <c r="L36" s="71"/>
      <c r="M36" s="71"/>
      <c r="N36" s="71"/>
    </row>
    <row r="37" spans="1:21" hidden="1" outlineLevel="1" x14ac:dyDescent="0.25">
      <c r="B37" s="83" t="s">
        <v>12</v>
      </c>
      <c r="C37" s="84" t="s">
        <v>131</v>
      </c>
      <c r="D37" s="105" t="s">
        <v>119</v>
      </c>
      <c r="E37" s="106"/>
      <c r="G37" s="79"/>
      <c r="H37" s="71"/>
      <c r="I37" s="71"/>
      <c r="J37" s="71"/>
      <c r="K37" s="71"/>
      <c r="L37" s="71"/>
      <c r="M37" s="71"/>
      <c r="N37" s="71"/>
    </row>
    <row r="38" spans="1:21" hidden="1" outlineLevel="1" x14ac:dyDescent="0.25">
      <c r="A38" t="s">
        <v>135</v>
      </c>
      <c r="B38" s="100" t="s">
        <v>85</v>
      </c>
      <c r="C38" s="101" t="s">
        <v>15</v>
      </c>
      <c r="D38" s="103" t="s">
        <v>118</v>
      </c>
      <c r="E38" s="104"/>
    </row>
    <row r="39" spans="1:21" hidden="1" outlineLevel="1" x14ac:dyDescent="0.25">
      <c r="A39" t="s">
        <v>135</v>
      </c>
      <c r="B39" s="100" t="s">
        <v>86</v>
      </c>
      <c r="C39" s="101" t="s">
        <v>24</v>
      </c>
      <c r="D39" s="103" t="s">
        <v>118</v>
      </c>
      <c r="E39" s="104"/>
    </row>
    <row r="40" spans="1:21" hidden="1" outlineLevel="1" x14ac:dyDescent="0.25">
      <c r="A40" t="s">
        <v>135</v>
      </c>
      <c r="B40" s="100" t="s">
        <v>87</v>
      </c>
      <c r="C40" s="101" t="s">
        <v>26</v>
      </c>
      <c r="D40" s="103" t="s">
        <v>118</v>
      </c>
      <c r="E40" s="104"/>
    </row>
    <row r="41" spans="1:21" hidden="1" outlineLevel="1" x14ac:dyDescent="0.25">
      <c r="A41" t="s">
        <v>135</v>
      </c>
      <c r="B41" s="100" t="s">
        <v>88</v>
      </c>
      <c r="C41" s="101" t="s">
        <v>37</v>
      </c>
      <c r="D41" s="103" t="s">
        <v>118</v>
      </c>
      <c r="E41" s="104"/>
    </row>
    <row r="42" spans="1:21" hidden="1" outlineLevel="1" x14ac:dyDescent="0.25">
      <c r="A42" t="s">
        <v>135</v>
      </c>
      <c r="B42" s="100" t="s">
        <v>89</v>
      </c>
      <c r="C42" s="101" t="s">
        <v>27</v>
      </c>
      <c r="D42" s="103" t="s">
        <v>118</v>
      </c>
      <c r="E42" s="104"/>
    </row>
    <row r="43" spans="1:21" hidden="1" outlineLevel="1" x14ac:dyDescent="0.25">
      <c r="A43" t="s">
        <v>135</v>
      </c>
      <c r="B43" s="100" t="s">
        <v>90</v>
      </c>
      <c r="C43" s="101" t="s">
        <v>109</v>
      </c>
      <c r="D43" s="103" t="s">
        <v>118</v>
      </c>
      <c r="E43" s="104"/>
    </row>
    <row r="44" spans="1:21" hidden="1" outlineLevel="1" x14ac:dyDescent="0.25">
      <c r="A44" t="s">
        <v>135</v>
      </c>
      <c r="B44" s="100" t="s">
        <v>91</v>
      </c>
      <c r="C44" s="101" t="s">
        <v>111</v>
      </c>
      <c r="D44" s="103" t="s">
        <v>118</v>
      </c>
      <c r="E44" s="104"/>
    </row>
    <row r="45" spans="1:21" hidden="1" outlineLevel="1" x14ac:dyDescent="0.25">
      <c r="A45" t="s">
        <v>135</v>
      </c>
      <c r="B45" s="100" t="s">
        <v>92</v>
      </c>
      <c r="C45" s="101" t="s">
        <v>110</v>
      </c>
      <c r="D45" s="103" t="s">
        <v>118</v>
      </c>
      <c r="E45" s="104"/>
    </row>
    <row r="46" spans="1:21" hidden="1" outlineLevel="1" x14ac:dyDescent="0.25">
      <c r="A46" t="s">
        <v>135</v>
      </c>
      <c r="B46" s="100" t="s">
        <v>93</v>
      </c>
      <c r="C46" s="101" t="s">
        <v>114</v>
      </c>
      <c r="D46" s="103" t="s">
        <v>118</v>
      </c>
      <c r="E46" s="104"/>
    </row>
    <row r="47" spans="1:21" hidden="1" outlineLevel="1" x14ac:dyDescent="0.25">
      <c r="A47" t="s">
        <v>135</v>
      </c>
      <c r="B47" s="100" t="s">
        <v>94</v>
      </c>
      <c r="C47" s="101" t="s">
        <v>113</v>
      </c>
      <c r="D47" s="103" t="s">
        <v>118</v>
      </c>
      <c r="E47" s="104"/>
    </row>
    <row r="48" spans="1:21" hidden="1" outlineLevel="1" x14ac:dyDescent="0.25">
      <c r="A48" t="s">
        <v>135</v>
      </c>
      <c r="B48" s="100" t="s">
        <v>95</v>
      </c>
      <c r="C48" s="101" t="s">
        <v>112</v>
      </c>
      <c r="D48" s="103" t="s">
        <v>118</v>
      </c>
      <c r="E48" s="104"/>
    </row>
    <row r="49" spans="1:15" hidden="1" outlineLevel="1" x14ac:dyDescent="0.25">
      <c r="A49" t="s">
        <v>135</v>
      </c>
      <c r="B49" s="100" t="s">
        <v>96</v>
      </c>
      <c r="C49" s="101" t="s">
        <v>116</v>
      </c>
      <c r="D49" s="103" t="s">
        <v>118</v>
      </c>
      <c r="E49" s="104"/>
    </row>
    <row r="50" spans="1:15" hidden="1" outlineLevel="1" x14ac:dyDescent="0.25">
      <c r="B50" s="100" t="s">
        <v>97</v>
      </c>
      <c r="C50" s="101" t="s">
        <v>115</v>
      </c>
      <c r="D50" s="103" t="s">
        <v>118</v>
      </c>
      <c r="E50" s="104"/>
    </row>
    <row r="51" spans="1:15" hidden="1" outlineLevel="1" x14ac:dyDescent="0.25">
      <c r="B51" s="81" t="s">
        <v>98</v>
      </c>
      <c r="C51" s="82" t="s">
        <v>48</v>
      </c>
      <c r="D51" s="193" t="s">
        <v>117</v>
      </c>
      <c r="E51" s="194"/>
    </row>
    <row r="52" spans="1:15" hidden="1" outlineLevel="1" x14ac:dyDescent="0.25"/>
    <row r="53" spans="1:15" hidden="1" outlineLevel="1" x14ac:dyDescent="0.25"/>
    <row r="54" spans="1:15" collapsed="1" x14ac:dyDescent="0.25">
      <c r="C54" t="s">
        <v>147</v>
      </c>
    </row>
    <row r="56" spans="1:15" x14ac:dyDescent="0.25">
      <c r="C56" s="122" t="s">
        <v>149</v>
      </c>
      <c r="D56" s="123">
        <v>0.64700000000000002</v>
      </c>
      <c r="G56" s="122" t="s">
        <v>150</v>
      </c>
      <c r="H56" s="123">
        <v>0.26300000000000001</v>
      </c>
      <c r="K56" s="122" t="s">
        <v>151</v>
      </c>
      <c r="L56" s="125" t="s">
        <v>155</v>
      </c>
    </row>
    <row r="58" spans="1:15" x14ac:dyDescent="0.25">
      <c r="B58" s="119"/>
      <c r="C58" s="121" t="s">
        <v>15</v>
      </c>
      <c r="D58" s="121" t="s">
        <v>24</v>
      </c>
      <c r="E58" s="121" t="s">
        <v>26</v>
      </c>
      <c r="F58" s="121" t="s">
        <v>37</v>
      </c>
      <c r="G58" s="121" t="s">
        <v>27</v>
      </c>
      <c r="H58" s="121" t="s">
        <v>109</v>
      </c>
      <c r="I58" s="121" t="s">
        <v>111</v>
      </c>
      <c r="J58" s="121" t="s">
        <v>110</v>
      </c>
      <c r="K58" s="121" t="s">
        <v>114</v>
      </c>
      <c r="L58" s="121" t="s">
        <v>113</v>
      </c>
      <c r="M58" s="121" t="s">
        <v>112</v>
      </c>
      <c r="N58" s="121" t="s">
        <v>116</v>
      </c>
      <c r="O58" s="121" t="s">
        <v>115</v>
      </c>
    </row>
    <row r="59" spans="1:15" x14ac:dyDescent="0.25">
      <c r="A59" t="s">
        <v>148</v>
      </c>
      <c r="B59" s="120" t="s">
        <v>15</v>
      </c>
      <c r="C59" t="s">
        <v>108</v>
      </c>
      <c r="D59" t="s">
        <v>106</v>
      </c>
      <c r="E59" s="2" t="s">
        <v>107</v>
      </c>
    </row>
    <row r="60" spans="1:15" x14ac:dyDescent="0.25">
      <c r="B60" s="120" t="s">
        <v>24</v>
      </c>
      <c r="H60" t="s">
        <v>108</v>
      </c>
      <c r="I60" t="s">
        <v>106</v>
      </c>
      <c r="J60" t="s">
        <v>107</v>
      </c>
    </row>
    <row r="61" spans="1:15" x14ac:dyDescent="0.25">
      <c r="B61" s="120" t="s">
        <v>26</v>
      </c>
      <c r="D61" t="s">
        <v>108</v>
      </c>
      <c r="F61" t="s">
        <v>106</v>
      </c>
      <c r="G61" s="2" t="s">
        <v>107</v>
      </c>
    </row>
    <row r="62" spans="1:15" x14ac:dyDescent="0.25">
      <c r="B62" s="120" t="s">
        <v>37</v>
      </c>
      <c r="K62" t="s">
        <v>106</v>
      </c>
      <c r="L62" t="s">
        <v>107</v>
      </c>
      <c r="M62" t="s">
        <v>108</v>
      </c>
    </row>
    <row r="63" spans="1:15" x14ac:dyDescent="0.25">
      <c r="B63" s="120" t="s">
        <v>27</v>
      </c>
      <c r="I63" t="s">
        <v>108</v>
      </c>
      <c r="N63" t="s">
        <v>106</v>
      </c>
      <c r="O63" t="s">
        <v>107</v>
      </c>
    </row>
    <row r="64" spans="1:15" x14ac:dyDescent="0.25">
      <c r="B64" s="120" t="s">
        <v>109</v>
      </c>
      <c r="C64" t="s">
        <v>108</v>
      </c>
      <c r="D64" t="s">
        <v>106</v>
      </c>
      <c r="E64" s="2" t="s">
        <v>107</v>
      </c>
    </row>
    <row r="65" spans="2:17" x14ac:dyDescent="0.25">
      <c r="B65" s="120" t="s">
        <v>111</v>
      </c>
      <c r="H65" t="s">
        <v>108</v>
      </c>
      <c r="I65" t="s">
        <v>106</v>
      </c>
      <c r="J65" t="s">
        <v>107</v>
      </c>
    </row>
    <row r="66" spans="2:17" x14ac:dyDescent="0.25">
      <c r="B66" s="120" t="s">
        <v>110</v>
      </c>
      <c r="D66" t="s">
        <v>108</v>
      </c>
      <c r="F66" t="s">
        <v>106</v>
      </c>
      <c r="G66" s="2" t="s">
        <v>107</v>
      </c>
    </row>
    <row r="67" spans="2:17" x14ac:dyDescent="0.25">
      <c r="B67" s="120" t="s">
        <v>114</v>
      </c>
      <c r="H67" t="s">
        <v>108</v>
      </c>
      <c r="I67" t="s">
        <v>106</v>
      </c>
      <c r="J67" t="s">
        <v>107</v>
      </c>
    </row>
    <row r="68" spans="2:17" x14ac:dyDescent="0.25">
      <c r="B68" s="120" t="s">
        <v>113</v>
      </c>
      <c r="D68" t="s">
        <v>108</v>
      </c>
      <c r="F68" t="s">
        <v>106</v>
      </c>
      <c r="G68" s="2" t="s">
        <v>107</v>
      </c>
    </row>
    <row r="69" spans="2:17" x14ac:dyDescent="0.25">
      <c r="B69" s="120" t="s">
        <v>112</v>
      </c>
      <c r="C69" t="s">
        <v>108</v>
      </c>
      <c r="D69" t="s">
        <v>106</v>
      </c>
      <c r="E69" s="2" t="s">
        <v>107</v>
      </c>
    </row>
    <row r="70" spans="2:17" x14ac:dyDescent="0.25">
      <c r="B70" s="120" t="s">
        <v>116</v>
      </c>
      <c r="K70" t="s">
        <v>106</v>
      </c>
      <c r="L70" t="s">
        <v>107</v>
      </c>
      <c r="M70" t="s">
        <v>108</v>
      </c>
    </row>
    <row r="71" spans="2:17" x14ac:dyDescent="0.25">
      <c r="B71" s="120" t="s">
        <v>115</v>
      </c>
      <c r="I71" t="s">
        <v>108</v>
      </c>
      <c r="N71" t="s">
        <v>106</v>
      </c>
      <c r="O71" t="s">
        <v>107</v>
      </c>
    </row>
    <row r="74" spans="2:17" x14ac:dyDescent="0.25">
      <c r="B74" s="119"/>
      <c r="C74" s="121" t="str">
        <f>C58</f>
        <v>000</v>
      </c>
      <c r="D74" s="121" t="str">
        <f t="shared" ref="D74:O74" si="1">D58</f>
        <v>010</v>
      </c>
      <c r="E74" s="121" t="str">
        <f t="shared" si="1"/>
        <v>001</v>
      </c>
      <c r="F74" s="121" t="str">
        <f t="shared" si="1"/>
        <v>020</v>
      </c>
      <c r="G74" s="121" t="str">
        <f t="shared" si="1"/>
        <v>011</v>
      </c>
      <c r="H74" s="121" t="str">
        <f t="shared" si="1"/>
        <v>100</v>
      </c>
      <c r="I74" s="121" t="str">
        <f t="shared" si="1"/>
        <v>110</v>
      </c>
      <c r="J74" s="121" t="str">
        <f t="shared" si="1"/>
        <v>101</v>
      </c>
      <c r="K74" s="121" t="str">
        <f t="shared" si="1"/>
        <v>210</v>
      </c>
      <c r="L74" s="121" t="str">
        <f t="shared" si="1"/>
        <v>201</v>
      </c>
      <c r="M74" s="121" t="str">
        <f t="shared" si="1"/>
        <v>200</v>
      </c>
      <c r="N74" s="121" t="str">
        <f t="shared" si="1"/>
        <v>120</v>
      </c>
      <c r="O74" s="121" t="str">
        <f t="shared" si="1"/>
        <v>111</v>
      </c>
    </row>
    <row r="75" spans="2:17" x14ac:dyDescent="0.25">
      <c r="B75" s="120" t="str">
        <f>B59</f>
        <v>000</v>
      </c>
      <c r="C75" s="127">
        <f>IFERROR(IF(C59="N",$D$56,IF(C59="S",$L$56,IF(C59="L",$H$56,0))),0)</f>
        <v>0.64700000000000002</v>
      </c>
      <c r="D75" s="75" t="str">
        <f t="shared" ref="D75:O75" si="2">IFERROR(IF(D59="N",$D$56,IF(D59="S",$L$56,IF(D59="L",$H$56,0))),0)</f>
        <v>0.090</v>
      </c>
      <c r="E75" s="75">
        <f t="shared" si="2"/>
        <v>0.26300000000000001</v>
      </c>
      <c r="F75" s="75">
        <f t="shared" si="2"/>
        <v>0</v>
      </c>
      <c r="G75" s="75">
        <f t="shared" si="2"/>
        <v>0</v>
      </c>
      <c r="H75" s="75">
        <f t="shared" si="2"/>
        <v>0</v>
      </c>
      <c r="I75" s="75">
        <f t="shared" si="2"/>
        <v>0</v>
      </c>
      <c r="J75" s="75">
        <f t="shared" si="2"/>
        <v>0</v>
      </c>
      <c r="K75" s="75">
        <f t="shared" si="2"/>
        <v>0</v>
      </c>
      <c r="L75" s="75">
        <f t="shared" si="2"/>
        <v>0</v>
      </c>
      <c r="M75" s="75">
        <f t="shared" si="2"/>
        <v>0</v>
      </c>
      <c r="N75" s="75">
        <f t="shared" si="2"/>
        <v>0</v>
      </c>
      <c r="O75" s="129">
        <f t="shared" si="2"/>
        <v>0</v>
      </c>
      <c r="P75" s="71" t="s">
        <v>152</v>
      </c>
      <c r="Q75">
        <f>SUM(C75:O75)</f>
        <v>0.91</v>
      </c>
    </row>
    <row r="76" spans="2:17" x14ac:dyDescent="0.25">
      <c r="B76" s="120" t="str">
        <f t="shared" ref="B76:B87" si="3">B60</f>
        <v>010</v>
      </c>
      <c r="C76" s="77">
        <f t="shared" ref="C76:O87" si="4">IFERROR(IF(C60="N",$D$56,IF(C60="S",$L$56,IF(C60="L",$H$56,0))),0)</f>
        <v>0</v>
      </c>
      <c r="D76">
        <f t="shared" si="4"/>
        <v>0</v>
      </c>
      <c r="E76">
        <f t="shared" si="4"/>
        <v>0</v>
      </c>
      <c r="F76">
        <f t="shared" si="4"/>
        <v>0</v>
      </c>
      <c r="G76">
        <f t="shared" si="4"/>
        <v>0</v>
      </c>
      <c r="H76">
        <f t="shared" si="4"/>
        <v>0.64700000000000002</v>
      </c>
      <c r="I76" t="str">
        <f t="shared" si="4"/>
        <v>0.090</v>
      </c>
      <c r="J76">
        <f t="shared" si="4"/>
        <v>0.26300000000000001</v>
      </c>
      <c r="K76">
        <f t="shared" si="4"/>
        <v>0</v>
      </c>
      <c r="L76">
        <f t="shared" si="4"/>
        <v>0</v>
      </c>
      <c r="M76">
        <f t="shared" si="4"/>
        <v>0</v>
      </c>
      <c r="N76">
        <f t="shared" si="4"/>
        <v>0</v>
      </c>
      <c r="O76" s="4">
        <f t="shared" si="4"/>
        <v>0</v>
      </c>
      <c r="Q76">
        <f t="shared" ref="Q76:Q87" si="5">SUM(C76:O76)</f>
        <v>0.91</v>
      </c>
    </row>
    <row r="77" spans="2:17" x14ac:dyDescent="0.25">
      <c r="B77" s="120" t="str">
        <f t="shared" si="3"/>
        <v>001</v>
      </c>
      <c r="C77" s="77">
        <f t="shared" si="4"/>
        <v>0</v>
      </c>
      <c r="D77">
        <f t="shared" si="4"/>
        <v>0.64700000000000002</v>
      </c>
      <c r="E77">
        <f t="shared" si="4"/>
        <v>0</v>
      </c>
      <c r="F77" t="str">
        <f t="shared" si="4"/>
        <v>0.090</v>
      </c>
      <c r="G77">
        <f t="shared" si="4"/>
        <v>0.26300000000000001</v>
      </c>
      <c r="H77">
        <f t="shared" si="4"/>
        <v>0</v>
      </c>
      <c r="I77">
        <f t="shared" si="4"/>
        <v>0</v>
      </c>
      <c r="J77">
        <f t="shared" si="4"/>
        <v>0</v>
      </c>
      <c r="K77">
        <f t="shared" si="4"/>
        <v>0</v>
      </c>
      <c r="L77">
        <f t="shared" si="4"/>
        <v>0</v>
      </c>
      <c r="M77">
        <f t="shared" si="4"/>
        <v>0</v>
      </c>
      <c r="N77">
        <f t="shared" si="4"/>
        <v>0</v>
      </c>
      <c r="O77" s="4">
        <f t="shared" si="4"/>
        <v>0</v>
      </c>
      <c r="Q77">
        <f t="shared" si="5"/>
        <v>0.91</v>
      </c>
    </row>
    <row r="78" spans="2:17" x14ac:dyDescent="0.25">
      <c r="B78" s="120" t="str">
        <f t="shared" si="3"/>
        <v>020</v>
      </c>
      <c r="C78" s="77">
        <f t="shared" si="4"/>
        <v>0</v>
      </c>
      <c r="D78">
        <f t="shared" si="4"/>
        <v>0</v>
      </c>
      <c r="E78">
        <f t="shared" si="4"/>
        <v>0</v>
      </c>
      <c r="F78">
        <f t="shared" si="4"/>
        <v>0</v>
      </c>
      <c r="G78">
        <f t="shared" si="4"/>
        <v>0</v>
      </c>
      <c r="H78">
        <f t="shared" si="4"/>
        <v>0</v>
      </c>
      <c r="I78">
        <f t="shared" si="4"/>
        <v>0</v>
      </c>
      <c r="J78">
        <f t="shared" si="4"/>
        <v>0</v>
      </c>
      <c r="K78" t="str">
        <f t="shared" si="4"/>
        <v>0.090</v>
      </c>
      <c r="L78">
        <f t="shared" si="4"/>
        <v>0.26300000000000001</v>
      </c>
      <c r="M78">
        <f t="shared" si="4"/>
        <v>0.64700000000000002</v>
      </c>
      <c r="N78">
        <f t="shared" si="4"/>
        <v>0</v>
      </c>
      <c r="O78" s="4">
        <f t="shared" si="4"/>
        <v>0</v>
      </c>
      <c r="Q78">
        <f t="shared" si="5"/>
        <v>0.91</v>
      </c>
    </row>
    <row r="79" spans="2:17" x14ac:dyDescent="0.25">
      <c r="B79" s="120" t="str">
        <f t="shared" si="3"/>
        <v>011</v>
      </c>
      <c r="C79" s="77">
        <f t="shared" si="4"/>
        <v>0</v>
      </c>
      <c r="D79">
        <f t="shared" si="4"/>
        <v>0</v>
      </c>
      <c r="E79">
        <f t="shared" si="4"/>
        <v>0</v>
      </c>
      <c r="F79">
        <f t="shared" si="4"/>
        <v>0</v>
      </c>
      <c r="G79">
        <f t="shared" si="4"/>
        <v>0</v>
      </c>
      <c r="H79">
        <f t="shared" si="4"/>
        <v>0</v>
      </c>
      <c r="I79">
        <f t="shared" si="4"/>
        <v>0.64700000000000002</v>
      </c>
      <c r="J79">
        <f t="shared" si="4"/>
        <v>0</v>
      </c>
      <c r="K79">
        <f t="shared" si="4"/>
        <v>0</v>
      </c>
      <c r="L79">
        <f t="shared" si="4"/>
        <v>0</v>
      </c>
      <c r="M79">
        <f t="shared" si="4"/>
        <v>0</v>
      </c>
      <c r="N79" t="str">
        <f t="shared" si="4"/>
        <v>0.090</v>
      </c>
      <c r="O79" s="4">
        <f t="shared" si="4"/>
        <v>0.26300000000000001</v>
      </c>
      <c r="Q79">
        <f t="shared" si="5"/>
        <v>0.91</v>
      </c>
    </row>
    <row r="80" spans="2:17" x14ac:dyDescent="0.25">
      <c r="B80" s="120" t="str">
        <f t="shared" si="3"/>
        <v>100</v>
      </c>
      <c r="C80" s="77">
        <f t="shared" si="4"/>
        <v>0.64700000000000002</v>
      </c>
      <c r="D80" t="str">
        <f t="shared" si="4"/>
        <v>0.090</v>
      </c>
      <c r="E80">
        <f t="shared" si="4"/>
        <v>0.26300000000000001</v>
      </c>
      <c r="F80">
        <f t="shared" si="4"/>
        <v>0</v>
      </c>
      <c r="G80">
        <f t="shared" si="4"/>
        <v>0</v>
      </c>
      <c r="H80">
        <f t="shared" si="4"/>
        <v>0</v>
      </c>
      <c r="I80">
        <f t="shared" si="4"/>
        <v>0</v>
      </c>
      <c r="J80">
        <f t="shared" si="4"/>
        <v>0</v>
      </c>
      <c r="K80">
        <f t="shared" si="4"/>
        <v>0</v>
      </c>
      <c r="L80">
        <f t="shared" si="4"/>
        <v>0</v>
      </c>
      <c r="M80">
        <f t="shared" si="4"/>
        <v>0</v>
      </c>
      <c r="N80">
        <f t="shared" si="4"/>
        <v>0</v>
      </c>
      <c r="O80" s="4">
        <f t="shared" si="4"/>
        <v>0</v>
      </c>
      <c r="Q80">
        <f t="shared" si="5"/>
        <v>0.91</v>
      </c>
    </row>
    <row r="81" spans="2:29" x14ac:dyDescent="0.25">
      <c r="B81" s="120" t="str">
        <f t="shared" si="3"/>
        <v>110</v>
      </c>
      <c r="C81" s="77">
        <f t="shared" si="4"/>
        <v>0</v>
      </c>
      <c r="D81">
        <f t="shared" si="4"/>
        <v>0</v>
      </c>
      <c r="E81">
        <f t="shared" si="4"/>
        <v>0</v>
      </c>
      <c r="F81">
        <f t="shared" si="4"/>
        <v>0</v>
      </c>
      <c r="G81">
        <f t="shared" si="4"/>
        <v>0</v>
      </c>
      <c r="H81">
        <f t="shared" si="4"/>
        <v>0.64700000000000002</v>
      </c>
      <c r="I81" t="str">
        <f t="shared" si="4"/>
        <v>0.090</v>
      </c>
      <c r="J81">
        <f t="shared" si="4"/>
        <v>0.26300000000000001</v>
      </c>
      <c r="K81">
        <f t="shared" si="4"/>
        <v>0</v>
      </c>
      <c r="L81">
        <f t="shared" si="4"/>
        <v>0</v>
      </c>
      <c r="M81">
        <f t="shared" si="4"/>
        <v>0</v>
      </c>
      <c r="N81">
        <f t="shared" si="4"/>
        <v>0</v>
      </c>
      <c r="O81" s="4">
        <f t="shared" si="4"/>
        <v>0</v>
      </c>
      <c r="Q81">
        <f t="shared" si="5"/>
        <v>0.91</v>
      </c>
    </row>
    <row r="82" spans="2:29" x14ac:dyDescent="0.25">
      <c r="B82" s="120" t="str">
        <f t="shared" si="3"/>
        <v>101</v>
      </c>
      <c r="C82" s="77">
        <f t="shared" si="4"/>
        <v>0</v>
      </c>
      <c r="D82">
        <f t="shared" si="4"/>
        <v>0.64700000000000002</v>
      </c>
      <c r="E82">
        <f t="shared" si="4"/>
        <v>0</v>
      </c>
      <c r="F82" t="str">
        <f t="shared" si="4"/>
        <v>0.090</v>
      </c>
      <c r="G82">
        <f t="shared" si="4"/>
        <v>0.26300000000000001</v>
      </c>
      <c r="H82">
        <f t="shared" si="4"/>
        <v>0</v>
      </c>
      <c r="I82">
        <f t="shared" si="4"/>
        <v>0</v>
      </c>
      <c r="J82">
        <f t="shared" si="4"/>
        <v>0</v>
      </c>
      <c r="K82">
        <f t="shared" si="4"/>
        <v>0</v>
      </c>
      <c r="L82">
        <f t="shared" si="4"/>
        <v>0</v>
      </c>
      <c r="M82">
        <f t="shared" si="4"/>
        <v>0</v>
      </c>
      <c r="N82">
        <f t="shared" si="4"/>
        <v>0</v>
      </c>
      <c r="O82" s="4">
        <f t="shared" si="4"/>
        <v>0</v>
      </c>
      <c r="Q82">
        <f t="shared" si="5"/>
        <v>0.91</v>
      </c>
    </row>
    <row r="83" spans="2:29" x14ac:dyDescent="0.25">
      <c r="B83" s="120" t="str">
        <f t="shared" si="3"/>
        <v>210</v>
      </c>
      <c r="C83" s="77">
        <f t="shared" si="4"/>
        <v>0</v>
      </c>
      <c r="D83">
        <f t="shared" si="4"/>
        <v>0</v>
      </c>
      <c r="E83">
        <f t="shared" si="4"/>
        <v>0</v>
      </c>
      <c r="F83">
        <f t="shared" si="4"/>
        <v>0</v>
      </c>
      <c r="G83">
        <f t="shared" si="4"/>
        <v>0</v>
      </c>
      <c r="H83">
        <f t="shared" si="4"/>
        <v>0.64700000000000002</v>
      </c>
      <c r="I83" t="str">
        <f t="shared" si="4"/>
        <v>0.090</v>
      </c>
      <c r="J83">
        <f t="shared" si="4"/>
        <v>0.26300000000000001</v>
      </c>
      <c r="K83">
        <f t="shared" si="4"/>
        <v>0</v>
      </c>
      <c r="L83">
        <f t="shared" si="4"/>
        <v>0</v>
      </c>
      <c r="M83">
        <f t="shared" si="4"/>
        <v>0</v>
      </c>
      <c r="N83">
        <f t="shared" si="4"/>
        <v>0</v>
      </c>
      <c r="O83" s="4">
        <f t="shared" si="4"/>
        <v>0</v>
      </c>
      <c r="Q83">
        <f t="shared" si="5"/>
        <v>0.91</v>
      </c>
    </row>
    <row r="84" spans="2:29" x14ac:dyDescent="0.25">
      <c r="B84" s="120" t="str">
        <f t="shared" si="3"/>
        <v>201</v>
      </c>
      <c r="C84" s="77">
        <f t="shared" si="4"/>
        <v>0</v>
      </c>
      <c r="D84">
        <f t="shared" si="4"/>
        <v>0.64700000000000002</v>
      </c>
      <c r="E84">
        <f t="shared" si="4"/>
        <v>0</v>
      </c>
      <c r="F84" t="str">
        <f t="shared" si="4"/>
        <v>0.090</v>
      </c>
      <c r="G84">
        <f t="shared" si="4"/>
        <v>0.26300000000000001</v>
      </c>
      <c r="H84">
        <f t="shared" si="4"/>
        <v>0</v>
      </c>
      <c r="I84">
        <f t="shared" si="4"/>
        <v>0</v>
      </c>
      <c r="J84">
        <f t="shared" si="4"/>
        <v>0</v>
      </c>
      <c r="K84">
        <f t="shared" si="4"/>
        <v>0</v>
      </c>
      <c r="L84">
        <f t="shared" si="4"/>
        <v>0</v>
      </c>
      <c r="M84">
        <f t="shared" si="4"/>
        <v>0</v>
      </c>
      <c r="N84">
        <f t="shared" si="4"/>
        <v>0</v>
      </c>
      <c r="O84" s="4">
        <f t="shared" si="4"/>
        <v>0</v>
      </c>
      <c r="Q84">
        <f t="shared" si="5"/>
        <v>0.91</v>
      </c>
    </row>
    <row r="85" spans="2:29" x14ac:dyDescent="0.25">
      <c r="B85" s="120" t="str">
        <f t="shared" si="3"/>
        <v>200</v>
      </c>
      <c r="C85" s="77">
        <f t="shared" si="4"/>
        <v>0.64700000000000002</v>
      </c>
      <c r="D85" t="str">
        <f t="shared" si="4"/>
        <v>0.090</v>
      </c>
      <c r="E85">
        <f t="shared" si="4"/>
        <v>0.26300000000000001</v>
      </c>
      <c r="F85">
        <f t="shared" si="4"/>
        <v>0</v>
      </c>
      <c r="G85">
        <f t="shared" si="4"/>
        <v>0</v>
      </c>
      <c r="H85">
        <f t="shared" si="4"/>
        <v>0</v>
      </c>
      <c r="I85">
        <f t="shared" si="4"/>
        <v>0</v>
      </c>
      <c r="J85">
        <f t="shared" si="4"/>
        <v>0</v>
      </c>
      <c r="K85">
        <f t="shared" si="4"/>
        <v>0</v>
      </c>
      <c r="L85">
        <f t="shared" si="4"/>
        <v>0</v>
      </c>
      <c r="M85">
        <f t="shared" si="4"/>
        <v>0</v>
      </c>
      <c r="N85">
        <f t="shared" si="4"/>
        <v>0</v>
      </c>
      <c r="O85" s="4">
        <f t="shared" si="4"/>
        <v>0</v>
      </c>
      <c r="Q85">
        <f t="shared" si="5"/>
        <v>0.91</v>
      </c>
    </row>
    <row r="86" spans="2:29" x14ac:dyDescent="0.25">
      <c r="B86" s="120" t="str">
        <f t="shared" si="3"/>
        <v>120</v>
      </c>
      <c r="C86" s="77">
        <f t="shared" si="4"/>
        <v>0</v>
      </c>
      <c r="D86">
        <f t="shared" si="4"/>
        <v>0</v>
      </c>
      <c r="E86">
        <f t="shared" si="4"/>
        <v>0</v>
      </c>
      <c r="F86">
        <f t="shared" si="4"/>
        <v>0</v>
      </c>
      <c r="G86">
        <f t="shared" si="4"/>
        <v>0</v>
      </c>
      <c r="H86">
        <f t="shared" si="4"/>
        <v>0</v>
      </c>
      <c r="I86">
        <f t="shared" si="4"/>
        <v>0</v>
      </c>
      <c r="J86">
        <f t="shared" si="4"/>
        <v>0</v>
      </c>
      <c r="K86" t="str">
        <f t="shared" si="4"/>
        <v>0.090</v>
      </c>
      <c r="L86">
        <f t="shared" si="4"/>
        <v>0.26300000000000001</v>
      </c>
      <c r="M86">
        <f t="shared" si="4"/>
        <v>0.64700000000000002</v>
      </c>
      <c r="N86">
        <f t="shared" si="4"/>
        <v>0</v>
      </c>
      <c r="O86" s="4">
        <f t="shared" si="4"/>
        <v>0</v>
      </c>
      <c r="Q86">
        <f t="shared" si="5"/>
        <v>0.91</v>
      </c>
    </row>
    <row r="87" spans="2:29" x14ac:dyDescent="0.25">
      <c r="B87" s="120" t="str">
        <f t="shared" si="3"/>
        <v>111</v>
      </c>
      <c r="C87" s="88">
        <f t="shared" si="4"/>
        <v>0</v>
      </c>
      <c r="D87" s="72">
        <f t="shared" si="4"/>
        <v>0</v>
      </c>
      <c r="E87" s="72">
        <f t="shared" si="4"/>
        <v>0</v>
      </c>
      <c r="F87" s="72">
        <f t="shared" si="4"/>
        <v>0</v>
      </c>
      <c r="G87" s="72">
        <f t="shared" si="4"/>
        <v>0</v>
      </c>
      <c r="H87" s="72">
        <f t="shared" si="4"/>
        <v>0</v>
      </c>
      <c r="I87" s="72">
        <f t="shared" si="4"/>
        <v>0.64700000000000002</v>
      </c>
      <c r="J87" s="72">
        <f t="shared" si="4"/>
        <v>0</v>
      </c>
      <c r="K87" s="72">
        <f t="shared" si="4"/>
        <v>0</v>
      </c>
      <c r="L87" s="72">
        <f t="shared" si="4"/>
        <v>0</v>
      </c>
      <c r="M87" s="72">
        <f t="shared" si="4"/>
        <v>0</v>
      </c>
      <c r="N87" s="72" t="str">
        <f t="shared" si="4"/>
        <v>0.090</v>
      </c>
      <c r="O87" s="118">
        <f t="shared" si="4"/>
        <v>0.26300000000000001</v>
      </c>
      <c r="Q87">
        <f t="shared" si="5"/>
        <v>0.91</v>
      </c>
    </row>
    <row r="88" spans="2:29" x14ac:dyDescent="0.25">
      <c r="B88" s="126"/>
      <c r="E88"/>
      <c r="G88"/>
    </row>
    <row r="89" spans="2:29" x14ac:dyDescent="0.25">
      <c r="B89" s="126" t="s">
        <v>156</v>
      </c>
      <c r="C89">
        <f>SUM(C75:C87)</f>
        <v>1.9410000000000001</v>
      </c>
      <c r="D89">
        <f t="shared" ref="D89:O89" si="6">SUM(D75:D87)</f>
        <v>1.9410000000000001</v>
      </c>
      <c r="E89">
        <f t="shared" si="6"/>
        <v>0.78900000000000003</v>
      </c>
      <c r="F89">
        <f t="shared" si="6"/>
        <v>0</v>
      </c>
      <c r="G89">
        <f t="shared" si="6"/>
        <v>0.78900000000000003</v>
      </c>
      <c r="H89">
        <f t="shared" si="6"/>
        <v>1.9410000000000001</v>
      </c>
      <c r="I89">
        <f t="shared" si="6"/>
        <v>1.294</v>
      </c>
      <c r="J89">
        <f t="shared" si="6"/>
        <v>0.78900000000000003</v>
      </c>
      <c r="K89">
        <f t="shared" si="6"/>
        <v>0</v>
      </c>
      <c r="L89">
        <f t="shared" si="6"/>
        <v>0.52600000000000002</v>
      </c>
      <c r="M89">
        <f t="shared" si="6"/>
        <v>1.294</v>
      </c>
      <c r="N89">
        <f t="shared" si="6"/>
        <v>0</v>
      </c>
      <c r="O89">
        <f t="shared" si="6"/>
        <v>0.52600000000000002</v>
      </c>
    </row>
    <row r="90" spans="2:29" x14ac:dyDescent="0.25">
      <c r="B90" s="126"/>
      <c r="E90"/>
      <c r="G90"/>
    </row>
    <row r="91" spans="2:29" x14ac:dyDescent="0.25">
      <c r="C91" s="75" t="s">
        <v>154</v>
      </c>
      <c r="D91" t="s">
        <v>15</v>
      </c>
      <c r="E91" s="75" t="s">
        <v>154</v>
      </c>
      <c r="F91" t="s">
        <v>24</v>
      </c>
      <c r="G91" s="75" t="s">
        <v>154</v>
      </c>
      <c r="H91" s="2" t="s">
        <v>26</v>
      </c>
      <c r="I91" s="75" t="s">
        <v>154</v>
      </c>
      <c r="J91" t="s">
        <v>37</v>
      </c>
      <c r="K91" s="75" t="s">
        <v>154</v>
      </c>
      <c r="L91" s="2" t="s">
        <v>27</v>
      </c>
      <c r="M91" s="75" t="s">
        <v>154</v>
      </c>
      <c r="N91" t="s">
        <v>109</v>
      </c>
      <c r="O91" s="75" t="s">
        <v>154</v>
      </c>
      <c r="P91" t="s">
        <v>111</v>
      </c>
      <c r="Q91" s="75" t="s">
        <v>154</v>
      </c>
      <c r="R91" t="s">
        <v>110</v>
      </c>
      <c r="S91" s="75" t="s">
        <v>154</v>
      </c>
      <c r="T91" t="s">
        <v>114</v>
      </c>
      <c r="U91" s="75" t="s">
        <v>154</v>
      </c>
      <c r="V91" t="s">
        <v>113</v>
      </c>
      <c r="W91" s="75" t="s">
        <v>154</v>
      </c>
      <c r="X91" t="s">
        <v>112</v>
      </c>
      <c r="Y91" s="75" t="s">
        <v>154</v>
      </c>
      <c r="Z91" t="s">
        <v>116</v>
      </c>
      <c r="AA91" s="75" t="s">
        <v>154</v>
      </c>
      <c r="AB91" t="s">
        <v>115</v>
      </c>
      <c r="AC91" t="s">
        <v>158</v>
      </c>
    </row>
    <row r="92" spans="2:29" x14ac:dyDescent="0.25">
      <c r="B92" t="s">
        <v>15</v>
      </c>
      <c r="C92" s="75" t="s">
        <v>154</v>
      </c>
      <c r="D92" s="127">
        <v>0.64700000000000002</v>
      </c>
      <c r="E92" s="75" t="s">
        <v>154</v>
      </c>
      <c r="F92" s="74" t="s">
        <v>155</v>
      </c>
      <c r="G92" s="75" t="s">
        <v>154</v>
      </c>
      <c r="H92" s="128">
        <v>0.26300000000000001</v>
      </c>
      <c r="I92" s="75" t="s">
        <v>154</v>
      </c>
      <c r="J92" s="75">
        <v>0</v>
      </c>
      <c r="K92" s="75" t="s">
        <v>154</v>
      </c>
      <c r="L92" s="128">
        <v>0</v>
      </c>
      <c r="M92" s="75" t="s">
        <v>154</v>
      </c>
      <c r="N92" s="75">
        <v>0</v>
      </c>
      <c r="O92" s="75" t="s">
        <v>154</v>
      </c>
      <c r="P92" s="75">
        <v>0</v>
      </c>
      <c r="Q92" s="75" t="s">
        <v>154</v>
      </c>
      <c r="R92" s="75">
        <v>0</v>
      </c>
      <c r="S92" s="75" t="s">
        <v>154</v>
      </c>
      <c r="T92" s="75">
        <v>0</v>
      </c>
      <c r="U92" s="75" t="s">
        <v>154</v>
      </c>
      <c r="V92" s="75">
        <v>0</v>
      </c>
      <c r="W92" s="75" t="s">
        <v>154</v>
      </c>
      <c r="X92" s="75">
        <v>0</v>
      </c>
      <c r="Y92" s="75" t="s">
        <v>154</v>
      </c>
      <c r="Z92" s="75">
        <v>0</v>
      </c>
      <c r="AA92" s="75" t="s">
        <v>154</v>
      </c>
      <c r="AB92" s="129">
        <v>0</v>
      </c>
      <c r="AC92" s="124" t="s">
        <v>153</v>
      </c>
    </row>
    <row r="93" spans="2:29" x14ac:dyDescent="0.25">
      <c r="B93" t="s">
        <v>24</v>
      </c>
      <c r="C93" t="s">
        <v>154</v>
      </c>
      <c r="D93" s="77">
        <v>0</v>
      </c>
      <c r="E93" t="s">
        <v>154</v>
      </c>
      <c r="F93">
        <v>0</v>
      </c>
      <c r="G93" t="s">
        <v>154</v>
      </c>
      <c r="H93" s="2">
        <v>0</v>
      </c>
      <c r="I93" t="s">
        <v>154</v>
      </c>
      <c r="J93">
        <v>0</v>
      </c>
      <c r="K93" t="s">
        <v>154</v>
      </c>
      <c r="L93" s="2">
        <v>0</v>
      </c>
      <c r="M93" t="s">
        <v>154</v>
      </c>
      <c r="N93">
        <v>0.64700000000000002</v>
      </c>
      <c r="O93" t="s">
        <v>154</v>
      </c>
      <c r="P93" s="71" t="s">
        <v>155</v>
      </c>
      <c r="Q93" t="s">
        <v>154</v>
      </c>
      <c r="R93">
        <v>0.26300000000000001</v>
      </c>
      <c r="S93" t="s">
        <v>154</v>
      </c>
      <c r="T93">
        <v>0</v>
      </c>
      <c r="U93" t="s">
        <v>154</v>
      </c>
      <c r="V93">
        <v>0</v>
      </c>
      <c r="W93" t="s">
        <v>154</v>
      </c>
      <c r="X93">
        <v>0</v>
      </c>
      <c r="Y93" t="s">
        <v>154</v>
      </c>
      <c r="Z93">
        <v>0</v>
      </c>
      <c r="AA93" t="s">
        <v>154</v>
      </c>
      <c r="AB93" s="4">
        <v>0</v>
      </c>
      <c r="AC93" s="124" t="s">
        <v>153</v>
      </c>
    </row>
    <row r="94" spans="2:29" x14ac:dyDescent="0.25">
      <c r="B94" t="s">
        <v>26</v>
      </c>
      <c r="C94" t="s">
        <v>154</v>
      </c>
      <c r="D94" s="77">
        <v>0</v>
      </c>
      <c r="E94" t="s">
        <v>154</v>
      </c>
      <c r="F94">
        <v>0.64700000000000002</v>
      </c>
      <c r="G94" t="s">
        <v>154</v>
      </c>
      <c r="H94" s="2">
        <v>0</v>
      </c>
      <c r="I94" t="s">
        <v>154</v>
      </c>
      <c r="J94" s="71" t="s">
        <v>155</v>
      </c>
      <c r="K94" t="s">
        <v>154</v>
      </c>
      <c r="L94" s="2">
        <v>0.26300000000000001</v>
      </c>
      <c r="M94" t="s">
        <v>154</v>
      </c>
      <c r="N94">
        <v>0</v>
      </c>
      <c r="O94" t="s">
        <v>154</v>
      </c>
      <c r="P94">
        <v>0</v>
      </c>
      <c r="Q94" t="s">
        <v>154</v>
      </c>
      <c r="R94">
        <v>0</v>
      </c>
      <c r="S94" t="s">
        <v>154</v>
      </c>
      <c r="T94">
        <v>0</v>
      </c>
      <c r="U94" t="s">
        <v>154</v>
      </c>
      <c r="V94">
        <v>0</v>
      </c>
      <c r="W94" t="s">
        <v>154</v>
      </c>
      <c r="X94">
        <v>0</v>
      </c>
      <c r="Y94" t="s">
        <v>154</v>
      </c>
      <c r="Z94">
        <v>0</v>
      </c>
      <c r="AA94" t="s">
        <v>154</v>
      </c>
      <c r="AB94" s="4">
        <v>0</v>
      </c>
      <c r="AC94" s="124" t="s">
        <v>153</v>
      </c>
    </row>
    <row r="95" spans="2:29" x14ac:dyDescent="0.25">
      <c r="B95" t="s">
        <v>37</v>
      </c>
      <c r="C95" t="s">
        <v>154</v>
      </c>
      <c r="D95" s="77">
        <v>0</v>
      </c>
      <c r="E95" t="s">
        <v>154</v>
      </c>
      <c r="F95">
        <v>0</v>
      </c>
      <c r="G95" t="s">
        <v>154</v>
      </c>
      <c r="H95" s="2">
        <v>0</v>
      </c>
      <c r="I95" t="s">
        <v>154</v>
      </c>
      <c r="J95">
        <v>0</v>
      </c>
      <c r="K95" t="s">
        <v>154</v>
      </c>
      <c r="L95" s="2">
        <v>0</v>
      </c>
      <c r="M95" t="s">
        <v>154</v>
      </c>
      <c r="N95">
        <v>0</v>
      </c>
      <c r="O95" t="s">
        <v>154</v>
      </c>
      <c r="P95">
        <v>0</v>
      </c>
      <c r="Q95" t="s">
        <v>154</v>
      </c>
      <c r="R95">
        <v>0</v>
      </c>
      <c r="S95" t="s">
        <v>154</v>
      </c>
      <c r="T95" s="71" t="s">
        <v>155</v>
      </c>
      <c r="U95" t="s">
        <v>154</v>
      </c>
      <c r="V95">
        <v>0</v>
      </c>
      <c r="W95" t="s">
        <v>154</v>
      </c>
      <c r="X95">
        <v>0.64700000000000002</v>
      </c>
      <c r="Y95" t="s">
        <v>154</v>
      </c>
      <c r="Z95">
        <v>0</v>
      </c>
      <c r="AA95" t="s">
        <v>154</v>
      </c>
      <c r="AB95" s="4">
        <v>0</v>
      </c>
      <c r="AC95" s="124" t="s">
        <v>153</v>
      </c>
    </row>
    <row r="96" spans="2:29" x14ac:dyDescent="0.25">
      <c r="B96" t="s">
        <v>27</v>
      </c>
      <c r="C96" t="s">
        <v>154</v>
      </c>
      <c r="D96" s="77">
        <v>0</v>
      </c>
      <c r="E96" t="s">
        <v>154</v>
      </c>
      <c r="F96">
        <v>0</v>
      </c>
      <c r="G96" t="s">
        <v>154</v>
      </c>
      <c r="H96" s="2">
        <v>0</v>
      </c>
      <c r="I96" t="s">
        <v>154</v>
      </c>
      <c r="J96">
        <v>0</v>
      </c>
      <c r="K96" t="s">
        <v>154</v>
      </c>
      <c r="L96" s="2">
        <v>0</v>
      </c>
      <c r="M96" t="s">
        <v>154</v>
      </c>
      <c r="N96">
        <v>0</v>
      </c>
      <c r="O96" t="s">
        <v>154</v>
      </c>
      <c r="P96">
        <v>0.64700000000000002</v>
      </c>
      <c r="Q96" t="s">
        <v>154</v>
      </c>
      <c r="R96">
        <v>0</v>
      </c>
      <c r="S96" t="s">
        <v>154</v>
      </c>
      <c r="T96">
        <v>0</v>
      </c>
      <c r="U96" t="s">
        <v>154</v>
      </c>
      <c r="V96">
        <v>0.26300000000000001</v>
      </c>
      <c r="W96" t="s">
        <v>154</v>
      </c>
      <c r="X96">
        <v>0</v>
      </c>
      <c r="Y96" t="s">
        <v>154</v>
      </c>
      <c r="Z96" t="s">
        <v>155</v>
      </c>
      <c r="AA96" t="s">
        <v>154</v>
      </c>
      <c r="AB96" s="4">
        <v>0.26300000000000001</v>
      </c>
      <c r="AC96" s="124" t="s">
        <v>153</v>
      </c>
    </row>
    <row r="97" spans="2:29" x14ac:dyDescent="0.25">
      <c r="B97" t="s">
        <v>109</v>
      </c>
      <c r="C97" t="s">
        <v>154</v>
      </c>
      <c r="D97" s="77">
        <v>0.64700000000000002</v>
      </c>
      <c r="E97" t="s">
        <v>154</v>
      </c>
      <c r="F97" s="71" t="s">
        <v>155</v>
      </c>
      <c r="G97" t="s">
        <v>154</v>
      </c>
      <c r="H97" s="2">
        <v>0.26300000000000001</v>
      </c>
      <c r="I97" t="s">
        <v>154</v>
      </c>
      <c r="J97">
        <v>0</v>
      </c>
      <c r="K97" t="s">
        <v>154</v>
      </c>
      <c r="L97" s="2">
        <v>0</v>
      </c>
      <c r="M97" t="s">
        <v>154</v>
      </c>
      <c r="N97">
        <v>0</v>
      </c>
      <c r="O97" t="s">
        <v>154</v>
      </c>
      <c r="P97">
        <v>0</v>
      </c>
      <c r="Q97" t="s">
        <v>154</v>
      </c>
      <c r="R97">
        <v>0</v>
      </c>
      <c r="S97" t="s">
        <v>154</v>
      </c>
      <c r="T97">
        <v>0</v>
      </c>
      <c r="U97" t="s">
        <v>154</v>
      </c>
      <c r="V97">
        <v>0</v>
      </c>
      <c r="W97" t="s">
        <v>154</v>
      </c>
      <c r="X97">
        <v>0</v>
      </c>
      <c r="Y97" t="s">
        <v>154</v>
      </c>
      <c r="Z97">
        <v>0</v>
      </c>
      <c r="AA97" t="s">
        <v>154</v>
      </c>
      <c r="AB97" s="4">
        <v>0</v>
      </c>
      <c r="AC97" s="124" t="s">
        <v>153</v>
      </c>
    </row>
    <row r="98" spans="2:29" x14ac:dyDescent="0.25">
      <c r="B98" t="s">
        <v>111</v>
      </c>
      <c r="C98" t="s">
        <v>154</v>
      </c>
      <c r="D98" s="77">
        <v>0</v>
      </c>
      <c r="E98" t="s">
        <v>154</v>
      </c>
      <c r="F98">
        <v>0</v>
      </c>
      <c r="G98" t="s">
        <v>154</v>
      </c>
      <c r="H98" s="2">
        <v>0</v>
      </c>
      <c r="I98" t="s">
        <v>154</v>
      </c>
      <c r="J98">
        <v>0</v>
      </c>
      <c r="K98" t="s">
        <v>154</v>
      </c>
      <c r="L98" s="2">
        <v>0</v>
      </c>
      <c r="M98" t="s">
        <v>154</v>
      </c>
      <c r="N98">
        <v>0.64700000000000002</v>
      </c>
      <c r="O98" t="s">
        <v>154</v>
      </c>
      <c r="P98" s="71" t="s">
        <v>155</v>
      </c>
      <c r="Q98" t="s">
        <v>154</v>
      </c>
      <c r="R98">
        <v>0.26300000000000001</v>
      </c>
      <c r="S98" t="s">
        <v>154</v>
      </c>
      <c r="T98">
        <v>0</v>
      </c>
      <c r="U98" t="s">
        <v>154</v>
      </c>
      <c r="V98">
        <v>0</v>
      </c>
      <c r="W98" t="s">
        <v>154</v>
      </c>
      <c r="X98">
        <v>0</v>
      </c>
      <c r="Y98" t="s">
        <v>154</v>
      </c>
      <c r="Z98">
        <v>0</v>
      </c>
      <c r="AA98" t="s">
        <v>154</v>
      </c>
      <c r="AB98" s="4">
        <v>0</v>
      </c>
      <c r="AC98" s="124" t="s">
        <v>153</v>
      </c>
    </row>
    <row r="99" spans="2:29" x14ac:dyDescent="0.25">
      <c r="B99" t="s">
        <v>110</v>
      </c>
      <c r="C99" t="s">
        <v>154</v>
      </c>
      <c r="D99" s="77">
        <v>0</v>
      </c>
      <c r="E99" t="s">
        <v>154</v>
      </c>
      <c r="F99">
        <v>0.64700000000000002</v>
      </c>
      <c r="G99" t="s">
        <v>154</v>
      </c>
      <c r="H99" s="2">
        <v>0</v>
      </c>
      <c r="I99" t="s">
        <v>154</v>
      </c>
      <c r="J99" s="71" t="s">
        <v>155</v>
      </c>
      <c r="K99" t="s">
        <v>154</v>
      </c>
      <c r="L99" s="2">
        <v>0.26300000000000001</v>
      </c>
      <c r="M99" t="s">
        <v>154</v>
      </c>
      <c r="N99">
        <v>0</v>
      </c>
      <c r="O99" t="s">
        <v>154</v>
      </c>
      <c r="P99">
        <v>0</v>
      </c>
      <c r="Q99" t="s">
        <v>154</v>
      </c>
      <c r="R99">
        <v>0</v>
      </c>
      <c r="S99" t="s">
        <v>154</v>
      </c>
      <c r="T99">
        <v>0</v>
      </c>
      <c r="U99" t="s">
        <v>154</v>
      </c>
      <c r="V99">
        <v>0</v>
      </c>
      <c r="W99" t="s">
        <v>154</v>
      </c>
      <c r="X99">
        <v>0</v>
      </c>
      <c r="Y99" t="s">
        <v>154</v>
      </c>
      <c r="Z99">
        <v>0</v>
      </c>
      <c r="AA99" t="s">
        <v>154</v>
      </c>
      <c r="AB99" s="4">
        <v>0</v>
      </c>
      <c r="AC99" s="124" t="s">
        <v>153</v>
      </c>
    </row>
    <row r="100" spans="2:29" x14ac:dyDescent="0.25">
      <c r="B100" t="s">
        <v>114</v>
      </c>
      <c r="C100" t="s">
        <v>154</v>
      </c>
      <c r="D100" s="77">
        <v>0</v>
      </c>
      <c r="E100" t="s">
        <v>154</v>
      </c>
      <c r="F100">
        <v>0</v>
      </c>
      <c r="G100" t="s">
        <v>154</v>
      </c>
      <c r="H100" s="2">
        <v>0</v>
      </c>
      <c r="I100" t="s">
        <v>154</v>
      </c>
      <c r="J100">
        <v>0</v>
      </c>
      <c r="K100" t="s">
        <v>154</v>
      </c>
      <c r="L100" s="2">
        <v>0</v>
      </c>
      <c r="M100" t="s">
        <v>154</v>
      </c>
      <c r="N100">
        <v>0.64700000000000002</v>
      </c>
      <c r="O100" t="s">
        <v>154</v>
      </c>
      <c r="P100" s="71" t="s">
        <v>155</v>
      </c>
      <c r="Q100" t="s">
        <v>154</v>
      </c>
      <c r="R100">
        <v>0.26300000000000001</v>
      </c>
      <c r="S100" t="s">
        <v>154</v>
      </c>
      <c r="T100">
        <v>0</v>
      </c>
      <c r="U100" t="s">
        <v>154</v>
      </c>
      <c r="V100">
        <v>0</v>
      </c>
      <c r="W100" t="s">
        <v>154</v>
      </c>
      <c r="X100">
        <v>0</v>
      </c>
      <c r="Y100" t="s">
        <v>154</v>
      </c>
      <c r="Z100">
        <v>0</v>
      </c>
      <c r="AA100" t="s">
        <v>154</v>
      </c>
      <c r="AB100" s="4">
        <v>0</v>
      </c>
      <c r="AC100" s="124" t="s">
        <v>153</v>
      </c>
    </row>
    <row r="101" spans="2:29" x14ac:dyDescent="0.25">
      <c r="B101" t="s">
        <v>113</v>
      </c>
      <c r="C101" t="s">
        <v>154</v>
      </c>
      <c r="D101" s="77">
        <v>0</v>
      </c>
      <c r="E101" t="s">
        <v>154</v>
      </c>
      <c r="F101">
        <v>0.64700000000000002</v>
      </c>
      <c r="G101" t="s">
        <v>154</v>
      </c>
      <c r="H101" s="2">
        <v>0</v>
      </c>
      <c r="I101" t="s">
        <v>154</v>
      </c>
      <c r="J101" s="71" t="s">
        <v>155</v>
      </c>
      <c r="K101" t="s">
        <v>154</v>
      </c>
      <c r="L101" s="2">
        <v>0.26300000000000001</v>
      </c>
      <c r="M101" t="s">
        <v>154</v>
      </c>
      <c r="N101">
        <v>0</v>
      </c>
      <c r="O101" t="s">
        <v>154</v>
      </c>
      <c r="P101">
        <v>0</v>
      </c>
      <c r="Q101" t="s">
        <v>154</v>
      </c>
      <c r="R101">
        <v>0</v>
      </c>
      <c r="S101" t="s">
        <v>154</v>
      </c>
      <c r="T101">
        <v>0</v>
      </c>
      <c r="U101" t="s">
        <v>154</v>
      </c>
      <c r="V101">
        <v>0</v>
      </c>
      <c r="W101" t="s">
        <v>154</v>
      </c>
      <c r="X101">
        <v>0</v>
      </c>
      <c r="Y101" t="s">
        <v>154</v>
      </c>
      <c r="Z101">
        <v>0</v>
      </c>
      <c r="AA101" t="s">
        <v>154</v>
      </c>
      <c r="AB101" s="4">
        <v>0</v>
      </c>
      <c r="AC101" s="124" t="s">
        <v>153</v>
      </c>
    </row>
    <row r="102" spans="2:29" x14ac:dyDescent="0.25">
      <c r="B102" t="s">
        <v>112</v>
      </c>
      <c r="C102" t="s">
        <v>154</v>
      </c>
      <c r="D102" s="77">
        <v>0.64700000000000002</v>
      </c>
      <c r="E102" t="s">
        <v>154</v>
      </c>
      <c r="F102" s="71" t="s">
        <v>155</v>
      </c>
      <c r="G102" t="s">
        <v>154</v>
      </c>
      <c r="H102" s="2">
        <v>0.26300000000000001</v>
      </c>
      <c r="I102" t="s">
        <v>154</v>
      </c>
      <c r="J102">
        <v>0</v>
      </c>
      <c r="K102" t="s">
        <v>154</v>
      </c>
      <c r="L102" s="2">
        <v>0</v>
      </c>
      <c r="M102" t="s">
        <v>154</v>
      </c>
      <c r="N102">
        <v>0</v>
      </c>
      <c r="O102" t="s">
        <v>154</v>
      </c>
      <c r="P102">
        <v>0</v>
      </c>
      <c r="Q102" t="s">
        <v>154</v>
      </c>
      <c r="R102">
        <v>0</v>
      </c>
      <c r="S102" t="s">
        <v>154</v>
      </c>
      <c r="T102">
        <v>0</v>
      </c>
      <c r="U102" t="s">
        <v>154</v>
      </c>
      <c r="V102">
        <v>0</v>
      </c>
      <c r="W102" t="s">
        <v>154</v>
      </c>
      <c r="X102">
        <v>0</v>
      </c>
      <c r="Y102" t="s">
        <v>154</v>
      </c>
      <c r="Z102">
        <v>0</v>
      </c>
      <c r="AA102" t="s">
        <v>154</v>
      </c>
      <c r="AB102" s="4">
        <v>0</v>
      </c>
      <c r="AC102" s="124" t="s">
        <v>153</v>
      </c>
    </row>
    <row r="103" spans="2:29" x14ac:dyDescent="0.25">
      <c r="B103" t="s">
        <v>116</v>
      </c>
      <c r="C103" t="s">
        <v>154</v>
      </c>
      <c r="D103" s="77">
        <v>0</v>
      </c>
      <c r="E103" t="s">
        <v>154</v>
      </c>
      <c r="F103">
        <v>0</v>
      </c>
      <c r="G103" t="s">
        <v>154</v>
      </c>
      <c r="H103" s="2">
        <v>0</v>
      </c>
      <c r="I103" t="s">
        <v>154</v>
      </c>
      <c r="J103">
        <v>0</v>
      </c>
      <c r="K103" t="s">
        <v>154</v>
      </c>
      <c r="L103" s="2">
        <v>0</v>
      </c>
      <c r="M103" t="s">
        <v>154</v>
      </c>
      <c r="N103">
        <v>0</v>
      </c>
      <c r="O103" t="s">
        <v>154</v>
      </c>
      <c r="P103">
        <v>0</v>
      </c>
      <c r="Q103" t="s">
        <v>154</v>
      </c>
      <c r="R103">
        <v>0</v>
      </c>
      <c r="S103" t="s">
        <v>154</v>
      </c>
      <c r="T103" s="71" t="s">
        <v>155</v>
      </c>
      <c r="U103" t="s">
        <v>154</v>
      </c>
      <c r="V103">
        <v>0</v>
      </c>
      <c r="W103" t="s">
        <v>154</v>
      </c>
      <c r="X103">
        <v>0.64700000000000002</v>
      </c>
      <c r="Y103" t="s">
        <v>154</v>
      </c>
      <c r="Z103">
        <v>0</v>
      </c>
      <c r="AA103" t="s">
        <v>154</v>
      </c>
      <c r="AB103" s="4">
        <v>0</v>
      </c>
      <c r="AC103" s="124" t="s">
        <v>153</v>
      </c>
    </row>
    <row r="104" spans="2:29" x14ac:dyDescent="0.25">
      <c r="B104" t="s">
        <v>115</v>
      </c>
      <c r="C104" s="72" t="s">
        <v>154</v>
      </c>
      <c r="D104" s="88">
        <v>0</v>
      </c>
      <c r="E104" s="72" t="s">
        <v>154</v>
      </c>
      <c r="F104" s="72">
        <v>0</v>
      </c>
      <c r="G104" s="72" t="s">
        <v>154</v>
      </c>
      <c r="H104" s="7">
        <v>0</v>
      </c>
      <c r="I104" s="72" t="s">
        <v>154</v>
      </c>
      <c r="J104" s="72">
        <v>0</v>
      </c>
      <c r="K104" s="72" t="s">
        <v>154</v>
      </c>
      <c r="L104" s="7">
        <v>0</v>
      </c>
      <c r="M104" s="72" t="s">
        <v>154</v>
      </c>
      <c r="N104" s="72">
        <v>0</v>
      </c>
      <c r="O104" s="72" t="s">
        <v>154</v>
      </c>
      <c r="P104" s="72">
        <v>0.64700000000000002</v>
      </c>
      <c r="Q104" s="72" t="s">
        <v>154</v>
      </c>
      <c r="R104" s="72">
        <v>0</v>
      </c>
      <c r="S104" s="72" t="s">
        <v>154</v>
      </c>
      <c r="T104" s="72">
        <v>0</v>
      </c>
      <c r="U104" s="72" t="s">
        <v>154</v>
      </c>
      <c r="V104" s="72">
        <v>0.26300000000000001</v>
      </c>
      <c r="W104" s="72" t="s">
        <v>154</v>
      </c>
      <c r="X104" s="72">
        <v>0</v>
      </c>
      <c r="Y104" s="72" t="s">
        <v>154</v>
      </c>
      <c r="Z104" s="72" t="s">
        <v>155</v>
      </c>
      <c r="AA104" s="72" t="s">
        <v>154</v>
      </c>
      <c r="AB104" s="118">
        <v>0.26300000000000001</v>
      </c>
      <c r="AC104" s="124" t="s">
        <v>153</v>
      </c>
    </row>
    <row r="105" spans="2:29" x14ac:dyDescent="0.25">
      <c r="E105"/>
      <c r="G105"/>
      <c r="H105" s="2"/>
      <c r="L105" s="2"/>
      <c r="AC105" s="124"/>
    </row>
    <row r="106" spans="2:29" x14ac:dyDescent="0.25">
      <c r="B106" t="s">
        <v>156</v>
      </c>
      <c r="D106">
        <f>SUM(D92:D104)</f>
        <v>1.9410000000000001</v>
      </c>
      <c r="E106">
        <f>SUM(E92:E104)</f>
        <v>0</v>
      </c>
      <c r="F106">
        <f>SUM(F92:F104)</f>
        <v>1.9410000000000001</v>
      </c>
      <c r="G106">
        <f>SUM(G92:G104)</f>
        <v>0</v>
      </c>
      <c r="H106">
        <f>SUM(H92:H104)</f>
        <v>0.78900000000000003</v>
      </c>
      <c r="J106">
        <f>SUM(J92:J104)</f>
        <v>0</v>
      </c>
      <c r="L106">
        <f>SUM(L92:L104)</f>
        <v>0.78900000000000003</v>
      </c>
      <c r="N106">
        <f>SUM(N92:N104)</f>
        <v>1.9410000000000001</v>
      </c>
      <c r="P106">
        <f>SUM(P92:P104)</f>
        <v>1.294</v>
      </c>
      <c r="R106">
        <f>SUM(R92:R104)</f>
        <v>0.78900000000000003</v>
      </c>
      <c r="T106">
        <f>SUM(T92:T104)</f>
        <v>0</v>
      </c>
      <c r="V106">
        <f>SUM(V92:V104)</f>
        <v>0.52600000000000002</v>
      </c>
    </row>
    <row r="107" spans="2:29" x14ac:dyDescent="0.25">
      <c r="B107" t="s">
        <v>157</v>
      </c>
      <c r="D107">
        <f>IF(D106=C89,1,0)</f>
        <v>1</v>
      </c>
      <c r="E107"/>
      <c r="F107">
        <f>IF(F106=D89,1,0)</f>
        <v>1</v>
      </c>
      <c r="G107"/>
      <c r="H107">
        <f>IF(H106=E89,1,0)</f>
        <v>1</v>
      </c>
      <c r="J107">
        <f>IF(J106=F89,1,0)</f>
        <v>1</v>
      </c>
      <c r="L107">
        <f>IF(L106=G89,1,0)</f>
        <v>1</v>
      </c>
      <c r="N107">
        <f>IF(N106=H89,1,0)</f>
        <v>1</v>
      </c>
      <c r="P107">
        <f>IF(P106=I89,1,0)</f>
        <v>1</v>
      </c>
      <c r="R107">
        <f>IF(R106=J89,1,0)</f>
        <v>1</v>
      </c>
      <c r="T107">
        <f>IF(T106=K89,1,0)</f>
        <v>1</v>
      </c>
      <c r="V107">
        <f>IF(V106=L89,1,0)</f>
        <v>1</v>
      </c>
      <c r="X107">
        <f>IF(X106=M89,1,0)</f>
        <v>0</v>
      </c>
      <c r="Z107">
        <f>IF(Z106=N89,1,0)</f>
        <v>1</v>
      </c>
      <c r="AB107">
        <f>IF(AB106=O89,1,0)</f>
        <v>0</v>
      </c>
    </row>
  </sheetData>
  <autoFilter ref="A6:U33" xr:uid="{5CB789E2-8E99-41B7-8C68-96C94A51161B}"/>
  <mergeCells count="2">
    <mergeCell ref="A1:Q1"/>
    <mergeCell ref="D51:E51"/>
  </mergeCells>
  <conditionalFormatting sqref="A3:A5 C3:C5">
    <cfRule type="duplicateValues" dxfId="36" priority="5"/>
  </conditionalFormatting>
  <conditionalFormatting sqref="B3:B5">
    <cfRule type="duplicateValues" dxfId="35" priority="6"/>
  </conditionalFormatting>
  <conditionalFormatting sqref="B38:B51">
    <cfRule type="duplicateValues" dxfId="34" priority="9"/>
  </conditionalFormatting>
  <conditionalFormatting sqref="B59 B62:B71">
    <cfRule type="duplicateValues" dxfId="33" priority="4"/>
  </conditionalFormatting>
  <conditionalFormatting sqref="B75 B78:B90">
    <cfRule type="duplicateValues" dxfId="32" priority="2"/>
  </conditionalFormatting>
  <conditionalFormatting sqref="C38 S24:S30 S5:S6 C41:C51">
    <cfRule type="duplicateValues" dxfId="31" priority="12"/>
  </conditionalFormatting>
  <conditionalFormatting sqref="C58 F58:O58">
    <cfRule type="duplicateValues" dxfId="30" priority="3"/>
  </conditionalFormatting>
  <conditionalFormatting sqref="C74 F74:O74">
    <cfRule type="duplicateValues" dxfId="29" priority="1"/>
  </conditionalFormatting>
  <conditionalFormatting sqref="E3">
    <cfRule type="duplicateValues" dxfId="28" priority="8"/>
  </conditionalFormatting>
  <conditionalFormatting sqref="E4:E5">
    <cfRule type="duplicateValues" dxfId="27" priority="7"/>
  </conditionalFormatting>
  <conditionalFormatting sqref="S26:S28">
    <cfRule type="duplicateValues" dxfId="26" priority="11"/>
  </conditionalFormatting>
  <conditionalFormatting sqref="V91 L108:L1048576 L59:L73 L35:L57 L2:L15 L22:L33 M16:M21">
    <cfRule type="duplicateValues" dxfId="25" priority="44"/>
  </conditionalFormatting>
  <hyperlinks>
    <hyperlink ref="AC92" r:id="rId1" xr:uid="{290C4C10-6B55-41DE-946E-FE157E448829}"/>
    <hyperlink ref="AC93:AC104" r:id="rId2" display="\\" xr:uid="{418AFA45-03CD-4DCA-A87E-851756B72A7A}"/>
  </hyperlinks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504D-6907-4336-ADCC-C88303A11056}">
  <sheetPr filterMode="1"/>
  <dimension ref="A1:AL364"/>
  <sheetViews>
    <sheetView topLeftCell="A10" zoomScale="115" zoomScaleNormal="115" workbookViewId="0">
      <selection activeCell="G15" activeCellId="2" sqref="G140 G134 G15"/>
    </sheetView>
  </sheetViews>
  <sheetFormatPr defaultColWidth="8.85546875" defaultRowHeight="15" outlineLevelRow="1" x14ac:dyDescent="0.25"/>
  <cols>
    <col min="1" max="1" width="8.85546875" customWidth="1"/>
    <col min="2" max="2" width="8.28515625" customWidth="1"/>
    <col min="3" max="3" width="10.28515625" bestFit="1" customWidth="1"/>
    <col min="4" max="4" width="10.7109375" bestFit="1" customWidth="1"/>
    <col min="5" max="5" width="6.28515625" style="2" customWidth="1"/>
    <col min="6" max="6" width="6.28515625" customWidth="1"/>
    <col min="7" max="7" width="7.42578125" style="2" customWidth="1"/>
    <col min="8" max="8" width="6.28515625" customWidth="1"/>
    <col min="9" max="9" width="6" style="2" bestFit="1" customWidth="1"/>
    <col min="10" max="10" width="8.42578125" bestFit="1" customWidth="1"/>
    <col min="11" max="11" width="6.5703125" style="2" bestFit="1" customWidth="1"/>
    <col min="12" max="12" width="8.42578125" style="2" bestFit="1" customWidth="1"/>
    <col min="13" max="13" width="6" style="2" bestFit="1" customWidth="1"/>
    <col min="14" max="14" width="8.42578125" style="2" bestFit="1" customWidth="1"/>
    <col min="15" max="15" width="6" style="2" bestFit="1" customWidth="1"/>
    <col min="16" max="16" width="8" customWidth="1"/>
    <col min="17" max="17" width="6" style="79" bestFit="1" customWidth="1"/>
    <col min="18" max="18" width="7.7109375" customWidth="1"/>
    <col min="19" max="19" width="6.140625" style="2" customWidth="1"/>
    <col min="20" max="20" width="5.7109375" customWidth="1"/>
    <col min="21" max="21" width="6.28515625" style="79" customWidth="1"/>
    <col min="22" max="22" width="6.5703125" customWidth="1"/>
    <col min="23" max="24" width="7.7109375" customWidth="1"/>
    <col min="25" max="25" width="6.28515625" style="79" customWidth="1"/>
    <col min="26" max="26" width="7.28515625" customWidth="1"/>
    <col min="27" max="27" width="5.85546875" style="79" customWidth="1"/>
    <col min="28" max="28" width="5.5703125" customWidth="1"/>
    <col min="29" max="29" width="6.28515625" style="79" customWidth="1"/>
    <col min="30" max="30" width="6.7109375" customWidth="1"/>
    <col min="31" max="31" width="6.140625" style="79" customWidth="1"/>
    <col min="32" max="32" width="6.85546875" customWidth="1"/>
    <col min="33" max="33" width="5.7109375" style="79" customWidth="1"/>
    <col min="34" max="34" width="5.28515625" customWidth="1"/>
    <col min="35" max="35" width="6.28515625" customWidth="1"/>
    <col min="36" max="37" width="7.28515625" customWidth="1"/>
  </cols>
  <sheetData>
    <row r="1" spans="1:38" ht="15.75" x14ac:dyDescent="0.25">
      <c r="A1" s="181" t="s">
        <v>253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38" x14ac:dyDescent="0.25">
      <c r="A2" s="83" t="s">
        <v>128</v>
      </c>
      <c r="B2" s="84" t="s">
        <v>127</v>
      </c>
      <c r="C2" s="84" t="s">
        <v>161</v>
      </c>
      <c r="D2" s="84" t="s">
        <v>162</v>
      </c>
      <c r="E2" s="83" t="s">
        <v>124</v>
      </c>
      <c r="F2" s="83" t="s">
        <v>125</v>
      </c>
      <c r="G2" s="84" t="s">
        <v>126</v>
      </c>
      <c r="AD2">
        <v>22000</v>
      </c>
      <c r="AE2" s="164" t="s">
        <v>205</v>
      </c>
      <c r="AF2" s="1" t="s">
        <v>249</v>
      </c>
      <c r="AG2" s="164" t="s">
        <v>250</v>
      </c>
    </row>
    <row r="3" spans="1:38" x14ac:dyDescent="0.25">
      <c r="A3" s="78" t="s">
        <v>106</v>
      </c>
      <c r="B3" s="77" t="s">
        <v>1</v>
      </c>
      <c r="C3" s="87" t="s">
        <v>24</v>
      </c>
      <c r="D3" s="87" t="s">
        <v>163</v>
      </c>
      <c r="E3" s="78" t="s">
        <v>121</v>
      </c>
      <c r="F3" s="78">
        <v>9.1399999999999995E-2</v>
      </c>
      <c r="G3" s="85">
        <f>F3</f>
        <v>9.1399999999999995E-2</v>
      </c>
      <c r="M3" s="79"/>
      <c r="S3" s="79"/>
      <c r="AD3">
        <v>21010</v>
      </c>
    </row>
    <row r="4" spans="1:38" x14ac:dyDescent="0.25">
      <c r="A4" s="78" t="s">
        <v>107</v>
      </c>
      <c r="B4" s="77">
        <v>737</v>
      </c>
      <c r="C4" s="87" t="s">
        <v>26</v>
      </c>
      <c r="D4" s="87" t="s">
        <v>164</v>
      </c>
      <c r="E4" s="78" t="s">
        <v>122</v>
      </c>
      <c r="F4" s="78">
        <v>0.26429999999999998</v>
      </c>
      <c r="G4" s="85">
        <f t="shared" ref="G4:G5" si="0">F4</f>
        <v>0.26429999999999998</v>
      </c>
      <c r="J4" s="116"/>
      <c r="K4" s="2" t="s">
        <v>146</v>
      </c>
      <c r="M4" s="79"/>
    </row>
    <row r="5" spans="1:38" x14ac:dyDescent="0.25">
      <c r="A5" s="76" t="s">
        <v>108</v>
      </c>
      <c r="B5" s="88" t="s">
        <v>63</v>
      </c>
      <c r="C5" s="89" t="s">
        <v>15</v>
      </c>
      <c r="D5" s="89" t="s">
        <v>160</v>
      </c>
      <c r="E5" s="76" t="s">
        <v>123</v>
      </c>
      <c r="F5" s="76">
        <v>0.64429999999999998</v>
      </c>
      <c r="G5" s="86">
        <f t="shared" si="0"/>
        <v>0.64429999999999998</v>
      </c>
      <c r="M5" s="79"/>
      <c r="S5" s="79"/>
    </row>
    <row r="6" spans="1:38" x14ac:dyDescent="0.25">
      <c r="A6" s="71"/>
      <c r="C6" s="71"/>
      <c r="D6" s="71"/>
      <c r="E6" s="71"/>
      <c r="F6" s="71"/>
      <c r="G6" s="130"/>
      <c r="M6" s="79"/>
      <c r="S6" s="79"/>
    </row>
    <row r="7" spans="1:38" x14ac:dyDescent="0.25">
      <c r="A7" s="71" t="s">
        <v>165</v>
      </c>
      <c r="B7">
        <v>56</v>
      </c>
      <c r="C7" s="131" t="s">
        <v>251</v>
      </c>
      <c r="D7">
        <v>39</v>
      </c>
      <c r="E7" s="131" t="s">
        <v>252</v>
      </c>
      <c r="F7" s="71"/>
      <c r="G7" s="130"/>
      <c r="M7" s="79"/>
      <c r="S7" s="79"/>
    </row>
    <row r="8" spans="1:38" x14ac:dyDescent="0.25">
      <c r="A8" s="71" t="s">
        <v>222</v>
      </c>
      <c r="C8" s="71"/>
      <c r="E8" s="71" t="s">
        <v>223</v>
      </c>
      <c r="F8" s="71"/>
      <c r="G8" s="130"/>
      <c r="M8" s="79"/>
      <c r="S8" s="79"/>
    </row>
    <row r="9" spans="1:38" x14ac:dyDescent="0.25">
      <c r="A9" s="71"/>
      <c r="C9" s="71"/>
      <c r="D9" s="132"/>
      <c r="F9" s="71"/>
    </row>
    <row r="10" spans="1:38" s="25" customFormat="1" x14ac:dyDescent="0.25">
      <c r="A10" s="150" t="s">
        <v>220</v>
      </c>
      <c r="B10" s="28"/>
      <c r="C10" s="150" t="s">
        <v>224</v>
      </c>
      <c r="D10" s="28"/>
      <c r="E10" s="7" t="s">
        <v>225</v>
      </c>
      <c r="F10" s="28"/>
      <c r="G10" s="7" t="s">
        <v>226</v>
      </c>
      <c r="H10" s="28"/>
      <c r="I10" s="7" t="s">
        <v>227</v>
      </c>
      <c r="J10" s="28"/>
      <c r="K10" s="7" t="s">
        <v>228</v>
      </c>
      <c r="L10" s="28"/>
      <c r="M10" s="7" t="s">
        <v>229</v>
      </c>
      <c r="N10" s="28"/>
      <c r="O10" s="7" t="s">
        <v>230</v>
      </c>
      <c r="P10" s="28"/>
      <c r="Q10" s="7" t="s">
        <v>231</v>
      </c>
      <c r="R10" s="28"/>
      <c r="S10" s="7" t="s">
        <v>232</v>
      </c>
      <c r="T10" s="28"/>
      <c r="U10" s="7" t="s">
        <v>233</v>
      </c>
      <c r="V10" s="28"/>
      <c r="W10" s="7" t="s">
        <v>234</v>
      </c>
      <c r="X10" s="28"/>
      <c r="Y10" s="7" t="s">
        <v>235</v>
      </c>
      <c r="Z10" s="28"/>
      <c r="AA10" s="7" t="s">
        <v>236</v>
      </c>
      <c r="AB10" s="28"/>
      <c r="AC10" s="7" t="s">
        <v>237</v>
      </c>
      <c r="AD10" s="28"/>
      <c r="AE10" s="7" t="s">
        <v>238</v>
      </c>
      <c r="AF10" s="28"/>
      <c r="AG10" s="7" t="s">
        <v>239</v>
      </c>
      <c r="AH10" s="28"/>
      <c r="AI10" s="7" t="s">
        <v>240</v>
      </c>
      <c r="AJ10" s="28"/>
      <c r="AK10" s="7" t="s">
        <v>241</v>
      </c>
      <c r="AL10" s="28"/>
    </row>
    <row r="11" spans="1:38" x14ac:dyDescent="0.25">
      <c r="A11" s="71"/>
      <c r="C11" s="71"/>
      <c r="D11" s="71"/>
      <c r="E11" s="71"/>
      <c r="F11" s="71"/>
      <c r="G11" s="71"/>
      <c r="H11" s="71"/>
      <c r="I11" s="79"/>
      <c r="J11" s="71" t="s">
        <v>106</v>
      </c>
      <c r="K11" s="93" t="s">
        <v>174</v>
      </c>
      <c r="L11" s="139"/>
      <c r="M11" s="139"/>
      <c r="N11" s="139"/>
      <c r="O11" s="139"/>
      <c r="P11" s="138"/>
      <c r="Q11" s="139"/>
      <c r="R11" s="138"/>
      <c r="S11" s="139"/>
      <c r="T11" s="138"/>
      <c r="U11" s="139"/>
      <c r="V11" s="138"/>
      <c r="W11" s="138"/>
      <c r="X11" s="138"/>
      <c r="Y11" s="139"/>
      <c r="Z11" s="138"/>
      <c r="AA11" s="139"/>
      <c r="AB11" s="138"/>
      <c r="AC11" s="139"/>
      <c r="AD11" s="138"/>
      <c r="AE11" s="139"/>
      <c r="AF11" s="138"/>
      <c r="AG11" s="139"/>
      <c r="AH11" s="138"/>
      <c r="AI11" s="138"/>
      <c r="AJ11" s="138"/>
      <c r="AK11" s="138"/>
      <c r="AL11" s="138"/>
    </row>
    <row r="12" spans="1:38" x14ac:dyDescent="0.25">
      <c r="B12" s="71"/>
      <c r="G12" s="79"/>
      <c r="H12" s="71" t="s">
        <v>106</v>
      </c>
      <c r="I12" s="93" t="s">
        <v>174</v>
      </c>
      <c r="J12" s="71" t="s">
        <v>107</v>
      </c>
      <c r="K12" s="93" t="s">
        <v>173</v>
      </c>
      <c r="L12" s="139"/>
      <c r="M12" s="139"/>
      <c r="N12" s="143"/>
      <c r="O12" s="143"/>
      <c r="P12" s="138"/>
      <c r="Q12" s="139"/>
      <c r="R12" s="138"/>
      <c r="S12" s="139"/>
      <c r="T12" s="138"/>
      <c r="U12" s="139"/>
      <c r="V12" s="138"/>
      <c r="W12" s="138"/>
      <c r="X12" s="138"/>
      <c r="Y12" s="139"/>
      <c r="Z12" s="138"/>
      <c r="AA12" s="139"/>
      <c r="AB12" s="138"/>
      <c r="AC12" s="139"/>
      <c r="AD12" s="138"/>
      <c r="AE12" s="139"/>
      <c r="AF12" s="138"/>
      <c r="AG12" s="139"/>
      <c r="AH12" s="138"/>
      <c r="AI12" s="138"/>
      <c r="AJ12" s="138"/>
      <c r="AK12" s="138"/>
      <c r="AL12" s="138"/>
    </row>
    <row r="13" spans="1:38" x14ac:dyDescent="0.25">
      <c r="B13" s="71"/>
      <c r="G13" s="79"/>
      <c r="H13" s="73"/>
      <c r="I13" s="80"/>
      <c r="J13" s="73" t="s">
        <v>108</v>
      </c>
      <c r="K13" s="98" t="s">
        <v>172</v>
      </c>
      <c r="L13" s="141"/>
      <c r="M13" s="141"/>
      <c r="N13" s="146"/>
      <c r="O13" s="146"/>
      <c r="P13" s="138"/>
      <c r="Q13" s="139"/>
      <c r="R13" s="138"/>
      <c r="S13" s="139"/>
      <c r="T13" s="138"/>
      <c r="U13" s="139"/>
      <c r="V13" s="138"/>
      <c r="W13" s="138"/>
      <c r="X13" s="138"/>
      <c r="Y13" s="139"/>
      <c r="Z13" s="138"/>
      <c r="AA13" s="139"/>
      <c r="AB13" s="138"/>
      <c r="AC13" s="139"/>
      <c r="AD13" s="138"/>
      <c r="AE13" s="139"/>
      <c r="AF13" s="138"/>
      <c r="AG13" s="139"/>
      <c r="AH13" s="138"/>
      <c r="AI13" s="138"/>
      <c r="AJ13" s="138"/>
      <c r="AK13" s="138"/>
      <c r="AL13" s="138"/>
    </row>
    <row r="14" spans="1:38" x14ac:dyDescent="0.25">
      <c r="B14" s="71"/>
      <c r="G14" s="79"/>
      <c r="H14" s="71"/>
      <c r="I14" s="79"/>
      <c r="J14" s="71" t="s">
        <v>106</v>
      </c>
      <c r="K14" s="93" t="s">
        <v>177</v>
      </c>
      <c r="L14" s="139"/>
      <c r="M14" s="139"/>
      <c r="N14" s="143"/>
      <c r="O14" s="143"/>
      <c r="P14" s="138"/>
      <c r="Q14" s="139"/>
      <c r="R14" s="138"/>
      <c r="S14" s="139"/>
      <c r="T14" s="138"/>
      <c r="U14" s="139"/>
      <c r="V14" s="138"/>
      <c r="W14" s="138"/>
      <c r="X14" s="138"/>
      <c r="Y14" s="139"/>
      <c r="Z14" s="138"/>
      <c r="AA14" s="139"/>
      <c r="AB14" s="138"/>
      <c r="AC14" s="139"/>
      <c r="AD14" s="138"/>
      <c r="AE14" s="139"/>
      <c r="AF14" s="138"/>
      <c r="AG14" s="139"/>
      <c r="AH14" s="138"/>
      <c r="AI14" s="138"/>
      <c r="AJ14" s="138"/>
      <c r="AK14" s="138"/>
      <c r="AL14" s="138"/>
    </row>
    <row r="15" spans="1:38" x14ac:dyDescent="0.25">
      <c r="B15" s="71"/>
      <c r="F15" t="s">
        <v>106</v>
      </c>
      <c r="G15" s="172" t="s">
        <v>174</v>
      </c>
      <c r="H15" s="71" t="s">
        <v>107</v>
      </c>
      <c r="I15" s="93" t="s">
        <v>173</v>
      </c>
      <c r="J15" s="71" t="s">
        <v>107</v>
      </c>
      <c r="K15" s="93" t="s">
        <v>176</v>
      </c>
      <c r="L15" s="139"/>
      <c r="M15" s="139"/>
      <c r="N15" s="143"/>
      <c r="O15" s="143"/>
      <c r="P15" s="138"/>
      <c r="Q15" s="139"/>
      <c r="R15" s="138"/>
      <c r="S15" s="139"/>
      <c r="T15" s="138"/>
      <c r="U15" s="139"/>
      <c r="V15" s="138"/>
      <c r="W15" s="138"/>
      <c r="X15" s="138"/>
      <c r="Y15" s="139"/>
      <c r="Z15" s="138"/>
      <c r="AA15" s="139"/>
      <c r="AB15" s="138"/>
      <c r="AC15" s="139"/>
      <c r="AD15" s="138"/>
      <c r="AE15" s="139"/>
      <c r="AF15" s="138"/>
      <c r="AG15" s="139"/>
      <c r="AH15" s="138"/>
      <c r="AI15" s="138"/>
      <c r="AJ15" s="138"/>
      <c r="AK15" s="138"/>
      <c r="AL15" s="138"/>
    </row>
    <row r="16" spans="1:38" x14ac:dyDescent="0.25">
      <c r="B16" s="71"/>
      <c r="G16" s="79"/>
      <c r="H16" s="73"/>
      <c r="I16" s="80"/>
      <c r="J16" s="73" t="s">
        <v>108</v>
      </c>
      <c r="K16" s="98" t="s">
        <v>175</v>
      </c>
      <c r="L16" s="141"/>
      <c r="M16" s="141"/>
      <c r="N16" s="146"/>
      <c r="O16" s="146"/>
      <c r="P16" s="138"/>
      <c r="Q16" s="139"/>
      <c r="R16" s="138"/>
      <c r="S16" s="139"/>
      <c r="T16" s="138"/>
      <c r="U16" s="139"/>
      <c r="V16" s="138"/>
      <c r="W16" s="138"/>
      <c r="X16" s="138"/>
      <c r="Y16" s="139"/>
      <c r="Z16" s="138"/>
      <c r="AA16" s="139"/>
      <c r="AB16" s="138"/>
      <c r="AC16" s="139"/>
      <c r="AD16" s="138"/>
      <c r="AE16" s="139"/>
      <c r="AF16" s="138"/>
      <c r="AG16" s="139"/>
      <c r="AH16" s="138"/>
      <c r="AI16" s="138"/>
      <c r="AJ16" s="138"/>
      <c r="AK16" s="138"/>
      <c r="AL16" s="138"/>
    </row>
    <row r="17" spans="2:38" x14ac:dyDescent="0.25">
      <c r="B17" s="71"/>
      <c r="G17" s="79"/>
      <c r="H17" s="71"/>
      <c r="I17" s="79"/>
      <c r="J17" s="71"/>
      <c r="K17" s="79"/>
      <c r="L17" s="79"/>
      <c r="M17" s="79"/>
      <c r="P17" s="71" t="s">
        <v>106</v>
      </c>
      <c r="Q17" s="135" t="s">
        <v>196</v>
      </c>
      <c r="R17" s="138"/>
      <c r="S17" s="139"/>
      <c r="T17" s="138"/>
      <c r="U17" s="139"/>
      <c r="V17" s="138"/>
      <c r="W17" s="138"/>
      <c r="X17" s="138"/>
      <c r="Y17" s="139"/>
      <c r="Z17" s="138"/>
      <c r="AA17" s="139"/>
      <c r="AB17" s="138"/>
      <c r="AC17" s="139"/>
      <c r="AD17" s="138"/>
      <c r="AE17" s="139"/>
      <c r="AF17" s="138"/>
      <c r="AG17" s="139"/>
      <c r="AH17" s="138"/>
      <c r="AI17" s="138"/>
      <c r="AJ17" s="138"/>
      <c r="AK17" s="138"/>
      <c r="AL17" s="138"/>
    </row>
    <row r="18" spans="2:38" x14ac:dyDescent="0.25">
      <c r="B18" s="71"/>
      <c r="G18" s="79"/>
      <c r="H18" s="71"/>
      <c r="I18" s="79"/>
      <c r="J18" s="71"/>
      <c r="K18" s="79"/>
      <c r="L18" s="79"/>
      <c r="M18" s="79"/>
      <c r="N18" s="71" t="s">
        <v>106</v>
      </c>
      <c r="O18" s="79" t="s">
        <v>182</v>
      </c>
      <c r="P18" s="73" t="s">
        <v>107</v>
      </c>
      <c r="Q18" s="137" t="s">
        <v>197</v>
      </c>
      <c r="R18" s="140"/>
      <c r="S18" s="141"/>
      <c r="T18" s="140"/>
      <c r="U18" s="141"/>
      <c r="V18" s="138"/>
      <c r="W18" s="138"/>
      <c r="X18" s="138"/>
      <c r="Y18" s="139"/>
      <c r="Z18" s="138"/>
      <c r="AA18" s="139"/>
      <c r="AB18" s="138"/>
      <c r="AC18" s="139"/>
      <c r="AD18" s="138"/>
      <c r="AE18" s="139"/>
      <c r="AF18" s="138"/>
      <c r="AG18" s="139"/>
      <c r="AH18" s="138"/>
      <c r="AI18" s="138"/>
      <c r="AJ18" s="138"/>
      <c r="AK18" s="138"/>
      <c r="AL18" s="138"/>
    </row>
    <row r="19" spans="2:38" x14ac:dyDescent="0.25">
      <c r="B19" s="71"/>
      <c r="G19" s="79"/>
      <c r="H19" s="71"/>
      <c r="I19" s="79"/>
      <c r="J19" s="71"/>
      <c r="K19" s="79"/>
      <c r="L19" s="79"/>
      <c r="M19" s="79"/>
      <c r="N19" s="71"/>
      <c r="O19" s="79"/>
      <c r="P19" s="71"/>
      <c r="Q19"/>
      <c r="S19" s="79"/>
      <c r="T19" s="73" t="s">
        <v>106</v>
      </c>
      <c r="U19" s="98" t="s">
        <v>170</v>
      </c>
      <c r="V19" s="140"/>
      <c r="W19" s="140"/>
      <c r="X19" s="140"/>
      <c r="Y19" s="141"/>
      <c r="Z19" s="138"/>
      <c r="AA19" s="139"/>
      <c r="AB19" s="138"/>
      <c r="AC19" s="139"/>
      <c r="AD19" s="138"/>
      <c r="AE19" s="139"/>
      <c r="AF19" s="138"/>
      <c r="AG19" s="139"/>
      <c r="AH19" s="138"/>
      <c r="AI19" s="138"/>
      <c r="AJ19" s="138"/>
      <c r="AK19" s="138"/>
      <c r="AL19" s="138"/>
    </row>
    <row r="20" spans="2:38" x14ac:dyDescent="0.25">
      <c r="B20" s="71"/>
      <c r="G20" s="79"/>
      <c r="H20" s="71"/>
      <c r="I20" s="79"/>
      <c r="J20" s="71"/>
      <c r="K20" s="79"/>
      <c r="L20" s="79"/>
      <c r="M20" s="79"/>
      <c r="N20" s="71"/>
      <c r="O20" s="79"/>
      <c r="P20" s="71"/>
      <c r="Q20"/>
      <c r="S20" s="79"/>
      <c r="T20" s="71"/>
      <c r="X20" s="71" t="s">
        <v>106</v>
      </c>
      <c r="Y20" s="93" t="s">
        <v>182</v>
      </c>
      <c r="Z20" s="138"/>
      <c r="AA20" s="139"/>
      <c r="AB20" s="138"/>
      <c r="AC20" s="139"/>
      <c r="AD20" s="138"/>
      <c r="AE20" s="139"/>
      <c r="AF20" s="138"/>
      <c r="AG20" s="139"/>
      <c r="AH20" s="138"/>
      <c r="AI20" s="138"/>
      <c r="AJ20" s="138"/>
      <c r="AK20" s="138"/>
      <c r="AL20" s="138"/>
    </row>
    <row r="21" spans="2:38" x14ac:dyDescent="0.25">
      <c r="B21" s="71"/>
      <c r="G21" s="79"/>
      <c r="H21" s="71"/>
      <c r="I21" s="79"/>
      <c r="J21" s="71"/>
      <c r="K21" s="79"/>
      <c r="L21" s="79"/>
      <c r="M21" s="79"/>
      <c r="N21" s="71"/>
      <c r="O21" s="79"/>
      <c r="P21" s="71"/>
      <c r="Q21"/>
      <c r="S21" s="79"/>
      <c r="T21" s="71"/>
      <c r="U21"/>
      <c r="V21" s="71" t="s">
        <v>106</v>
      </c>
      <c r="W21" s="79" t="s">
        <v>177</v>
      </c>
      <c r="X21" s="71" t="s">
        <v>107</v>
      </c>
      <c r="Y21" s="93" t="s">
        <v>181</v>
      </c>
      <c r="Z21" s="138"/>
      <c r="AA21" s="139"/>
      <c r="AB21" s="138"/>
      <c r="AC21" s="139"/>
      <c r="AD21" s="138"/>
      <c r="AE21" s="139"/>
      <c r="AF21" s="138"/>
      <c r="AG21" s="139"/>
      <c r="AH21" s="138"/>
      <c r="AI21" s="138"/>
      <c r="AJ21" s="138"/>
      <c r="AK21" s="138"/>
      <c r="AL21" s="138"/>
    </row>
    <row r="22" spans="2:38" x14ac:dyDescent="0.25">
      <c r="B22" s="71"/>
      <c r="G22" s="79"/>
      <c r="H22" s="71"/>
      <c r="I22" s="79"/>
      <c r="J22" s="71"/>
      <c r="K22" s="79"/>
      <c r="L22" s="79"/>
      <c r="M22" s="79"/>
      <c r="N22" s="71"/>
      <c r="O22" s="79"/>
      <c r="P22" s="71"/>
      <c r="Q22"/>
      <c r="S22" s="79"/>
      <c r="T22" s="71"/>
      <c r="U22"/>
      <c r="V22" s="73"/>
      <c r="W22" s="80"/>
      <c r="X22" s="73" t="s">
        <v>108</v>
      </c>
      <c r="Y22" s="98" t="s">
        <v>170</v>
      </c>
      <c r="Z22" s="140"/>
      <c r="AA22" s="141"/>
      <c r="AB22" s="138"/>
      <c r="AC22" s="139"/>
      <c r="AD22" s="138"/>
      <c r="AE22" s="139"/>
      <c r="AF22" s="138"/>
      <c r="AG22" s="139"/>
      <c r="AH22" s="138"/>
      <c r="AI22" s="138"/>
      <c r="AJ22" s="138"/>
      <c r="AK22" s="138"/>
      <c r="AL22" s="138"/>
    </row>
    <row r="23" spans="2:38" x14ac:dyDescent="0.25">
      <c r="B23" s="71"/>
      <c r="G23" s="79"/>
      <c r="H23" s="71"/>
      <c r="I23" s="79"/>
      <c r="J23" s="71"/>
      <c r="K23" s="79"/>
      <c r="L23" s="79"/>
      <c r="M23" s="79"/>
      <c r="N23" s="71"/>
      <c r="O23" s="79"/>
      <c r="P23" s="71"/>
      <c r="Q23"/>
      <c r="S23" s="79"/>
      <c r="T23" s="71"/>
      <c r="U23"/>
      <c r="V23" s="71"/>
      <c r="W23" s="79"/>
      <c r="X23" s="71"/>
      <c r="Y23" s="71"/>
      <c r="Z23" s="71" t="s">
        <v>106</v>
      </c>
      <c r="AA23" s="165" t="s">
        <v>205</v>
      </c>
      <c r="AB23" s="138"/>
      <c r="AC23" s="139"/>
      <c r="AD23" s="138"/>
      <c r="AE23" s="139"/>
      <c r="AF23" s="138"/>
      <c r="AG23" s="139"/>
      <c r="AH23" s="138"/>
      <c r="AI23" s="138"/>
      <c r="AJ23" s="138"/>
      <c r="AK23" s="138"/>
      <c r="AL23" s="138"/>
    </row>
    <row r="24" spans="2:38" x14ac:dyDescent="0.25">
      <c r="B24" s="71"/>
      <c r="G24" s="79"/>
      <c r="H24" s="71"/>
      <c r="I24" s="79"/>
      <c r="J24" s="71"/>
      <c r="K24" s="79"/>
      <c r="L24" s="79"/>
      <c r="M24" s="79"/>
      <c r="N24" s="71"/>
      <c r="O24" s="79"/>
      <c r="P24" s="71"/>
      <c r="Q24"/>
      <c r="S24" s="79"/>
      <c r="T24" s="71"/>
      <c r="U24"/>
      <c r="V24" s="71"/>
      <c r="W24" s="79"/>
      <c r="X24" s="71" t="s">
        <v>106</v>
      </c>
      <c r="Y24" s="79" t="s">
        <v>184</v>
      </c>
      <c r="Z24" s="73" t="s">
        <v>107</v>
      </c>
      <c r="AA24" s="166" t="s">
        <v>204</v>
      </c>
      <c r="AB24" s="140"/>
      <c r="AC24" s="141"/>
      <c r="AD24" s="138"/>
      <c r="AE24" s="139"/>
      <c r="AF24" s="138"/>
      <c r="AG24" s="139"/>
      <c r="AH24" s="138"/>
      <c r="AI24" s="138"/>
      <c r="AJ24" s="138"/>
      <c r="AK24" s="138"/>
      <c r="AL24" s="138"/>
    </row>
    <row r="25" spans="2:38" x14ac:dyDescent="0.25">
      <c r="B25" s="71"/>
      <c r="G25" s="79"/>
      <c r="H25" s="71"/>
      <c r="I25" s="79"/>
      <c r="J25" s="71"/>
      <c r="K25" s="79"/>
      <c r="L25" s="79"/>
      <c r="M25" s="79"/>
      <c r="N25" s="71"/>
      <c r="O25" s="79"/>
      <c r="P25" s="71"/>
      <c r="Q25"/>
      <c r="S25" s="79"/>
      <c r="T25" s="71"/>
      <c r="U25"/>
      <c r="V25" s="71"/>
      <c r="W25" s="79"/>
      <c r="X25" s="71"/>
      <c r="Z25" s="71"/>
      <c r="AB25" s="71" t="s">
        <v>106</v>
      </c>
      <c r="AC25" s="135" t="s">
        <v>208</v>
      </c>
      <c r="AD25" s="138"/>
      <c r="AE25" s="139"/>
      <c r="AF25" s="138"/>
      <c r="AG25" s="139"/>
      <c r="AH25" s="138"/>
      <c r="AI25" s="138"/>
      <c r="AJ25" s="138"/>
      <c r="AK25" s="138"/>
      <c r="AL25" s="138"/>
    </row>
    <row r="26" spans="2:38" x14ac:dyDescent="0.25">
      <c r="B26" s="71"/>
      <c r="G26" s="79"/>
      <c r="H26" s="71"/>
      <c r="I26" s="79"/>
      <c r="J26" s="71"/>
      <c r="K26" s="79"/>
      <c r="L26" s="79"/>
      <c r="M26" s="79"/>
      <c r="N26" s="71"/>
      <c r="O26" s="79"/>
      <c r="P26" s="71"/>
      <c r="Q26"/>
      <c r="S26" s="79"/>
      <c r="T26" s="71"/>
      <c r="U26"/>
      <c r="V26" s="71"/>
      <c r="W26" s="79"/>
      <c r="Y26"/>
      <c r="Z26" t="s">
        <v>108</v>
      </c>
      <c r="AA26" s="2" t="s">
        <v>189</v>
      </c>
      <c r="AB26" s="73" t="s">
        <v>107</v>
      </c>
      <c r="AC26" s="137" t="s">
        <v>207</v>
      </c>
      <c r="AD26" s="140"/>
      <c r="AE26" s="141"/>
      <c r="AF26" s="138"/>
      <c r="AG26" s="139"/>
      <c r="AH26" s="138"/>
      <c r="AI26" s="138"/>
      <c r="AJ26" s="138"/>
      <c r="AK26" s="138"/>
      <c r="AL26" s="138"/>
    </row>
    <row r="27" spans="2:38" x14ac:dyDescent="0.25">
      <c r="B27" s="71"/>
      <c r="G27" s="79"/>
      <c r="H27" s="71"/>
      <c r="I27" s="79"/>
      <c r="J27" s="71"/>
      <c r="K27" s="79"/>
      <c r="L27" s="79"/>
      <c r="M27" s="79"/>
      <c r="N27" s="71"/>
      <c r="O27" s="79"/>
      <c r="P27" s="71"/>
      <c r="Q27"/>
      <c r="S27" s="79"/>
      <c r="T27" s="71"/>
      <c r="U27"/>
      <c r="V27" s="71"/>
      <c r="W27" s="79"/>
      <c r="Y27"/>
      <c r="AA27" s="2"/>
      <c r="AB27" s="71"/>
      <c r="AC27"/>
      <c r="AD27" s="71" t="s">
        <v>106</v>
      </c>
      <c r="AE27" s="93" t="s">
        <v>180</v>
      </c>
      <c r="AF27" s="138"/>
      <c r="AG27" s="139"/>
      <c r="AH27" s="138"/>
      <c r="AI27" s="138"/>
      <c r="AJ27" s="138"/>
      <c r="AK27" s="138"/>
      <c r="AL27" s="138"/>
    </row>
    <row r="28" spans="2:38" x14ac:dyDescent="0.25">
      <c r="B28" s="71"/>
      <c r="G28" s="79"/>
      <c r="H28" s="71"/>
      <c r="I28" s="79"/>
      <c r="J28" s="71"/>
      <c r="K28" s="79"/>
      <c r="L28" s="79"/>
      <c r="M28" s="79"/>
      <c r="N28" s="71"/>
      <c r="O28" s="79"/>
      <c r="P28" s="71"/>
      <c r="Q28"/>
      <c r="S28" s="79"/>
      <c r="T28" s="71"/>
      <c r="U28"/>
      <c r="V28" s="71"/>
      <c r="W28" s="79"/>
      <c r="X28" s="71"/>
      <c r="AA28"/>
      <c r="AB28" t="s">
        <v>108</v>
      </c>
      <c r="AC28" s="2" t="s">
        <v>206</v>
      </c>
      <c r="AD28" s="71" t="s">
        <v>107</v>
      </c>
      <c r="AE28" s="93" t="s">
        <v>179</v>
      </c>
      <c r="AF28" s="138"/>
      <c r="AG28" s="139"/>
      <c r="AH28" s="138"/>
      <c r="AI28" s="138"/>
      <c r="AJ28" s="138"/>
      <c r="AK28" s="138"/>
      <c r="AL28" s="138"/>
    </row>
    <row r="29" spans="2:38" x14ac:dyDescent="0.25">
      <c r="B29" s="71"/>
      <c r="G29" s="79"/>
      <c r="H29" s="71"/>
      <c r="I29" s="79"/>
      <c r="J29" s="71"/>
      <c r="K29" s="79"/>
      <c r="L29" s="79"/>
      <c r="M29" s="79"/>
      <c r="N29" s="71"/>
      <c r="O29" s="79"/>
      <c r="P29" s="71"/>
      <c r="Q29"/>
      <c r="S29" s="79"/>
      <c r="T29" s="71"/>
      <c r="U29"/>
      <c r="V29" s="71"/>
      <c r="W29" s="79"/>
      <c r="X29" s="71"/>
      <c r="Z29" s="73"/>
      <c r="AA29" s="73"/>
      <c r="AB29" s="73"/>
      <c r="AC29" s="80"/>
      <c r="AD29" s="73" t="s">
        <v>108</v>
      </c>
      <c r="AE29" s="98" t="s">
        <v>178</v>
      </c>
      <c r="AF29" s="138"/>
      <c r="AG29" s="139"/>
      <c r="AH29" s="138"/>
      <c r="AI29" s="138"/>
      <c r="AJ29" s="138"/>
      <c r="AK29" s="138"/>
      <c r="AL29" s="138"/>
    </row>
    <row r="30" spans="2:38" x14ac:dyDescent="0.25">
      <c r="B30" s="71"/>
      <c r="G30" s="79"/>
      <c r="H30" s="71"/>
      <c r="I30" s="79"/>
      <c r="J30" s="71"/>
      <c r="K30" s="79"/>
      <c r="L30" s="79"/>
      <c r="M30" s="79"/>
      <c r="N30" s="71"/>
      <c r="O30" s="79"/>
      <c r="P30" s="71"/>
      <c r="Q30"/>
      <c r="S30" s="79"/>
      <c r="T30" s="71"/>
      <c r="U30"/>
      <c r="V30" s="71"/>
      <c r="W30" s="79"/>
      <c r="X30" s="71"/>
      <c r="Z30" s="71" t="s">
        <v>106</v>
      </c>
      <c r="AA30" s="135" t="s">
        <v>209</v>
      </c>
      <c r="AB30" s="138"/>
      <c r="AC30" s="139"/>
      <c r="AD30" s="138"/>
      <c r="AE30" s="139"/>
      <c r="AF30" s="138"/>
      <c r="AG30" s="139"/>
      <c r="AH30" s="138"/>
      <c r="AI30" s="138"/>
      <c r="AJ30" s="138"/>
      <c r="AK30" s="138"/>
      <c r="AL30" s="138"/>
    </row>
    <row r="31" spans="2:38" x14ac:dyDescent="0.25">
      <c r="B31" s="71"/>
      <c r="G31" s="79"/>
      <c r="H31" s="71"/>
      <c r="I31" s="79"/>
      <c r="J31" s="71"/>
      <c r="K31" s="79"/>
      <c r="L31" s="79"/>
      <c r="M31" s="79"/>
      <c r="N31" s="71"/>
      <c r="O31" s="79"/>
      <c r="P31" s="71"/>
      <c r="R31" s="71" t="s">
        <v>106</v>
      </c>
      <c r="S31" s="79" t="s">
        <v>203</v>
      </c>
      <c r="T31" s="71" t="s">
        <v>107</v>
      </c>
      <c r="U31" s="79" t="s">
        <v>169</v>
      </c>
      <c r="V31" s="71" t="s">
        <v>107</v>
      </c>
      <c r="W31" s="79" t="s">
        <v>176</v>
      </c>
      <c r="X31" s="71" t="s">
        <v>107</v>
      </c>
      <c r="Y31" s="79" t="s">
        <v>183</v>
      </c>
      <c r="Z31" s="73" t="s">
        <v>107</v>
      </c>
      <c r="AA31" s="137" t="s">
        <v>210</v>
      </c>
      <c r="AB31" s="140"/>
      <c r="AC31" s="141"/>
      <c r="AD31" s="140"/>
      <c r="AE31" s="141"/>
      <c r="AF31" s="140"/>
      <c r="AG31" s="139"/>
      <c r="AH31" s="138"/>
      <c r="AI31" s="138"/>
      <c r="AJ31" s="138"/>
      <c r="AK31" s="138"/>
      <c r="AL31" s="138"/>
    </row>
    <row r="32" spans="2:38" x14ac:dyDescent="0.25">
      <c r="B32" s="71"/>
      <c r="G32" s="79"/>
      <c r="H32" s="71"/>
      <c r="I32" s="79"/>
      <c r="J32" s="71"/>
      <c r="K32" s="79"/>
      <c r="L32" s="79"/>
      <c r="M32" s="79"/>
      <c r="N32" s="71"/>
      <c r="O32" s="79"/>
      <c r="P32" s="71"/>
      <c r="R32" s="71"/>
      <c r="S32" s="79"/>
      <c r="T32" s="71"/>
      <c r="V32" s="71"/>
      <c r="W32" s="79"/>
      <c r="X32" s="71"/>
      <c r="Z32" s="71"/>
      <c r="AA32"/>
      <c r="AB32" s="71" t="s">
        <v>106</v>
      </c>
      <c r="AC32" s="135" t="s">
        <v>212</v>
      </c>
      <c r="AD32" s="138"/>
      <c r="AE32" s="138"/>
      <c r="AF32" s="138"/>
      <c r="AG32" s="139"/>
      <c r="AH32" s="138"/>
      <c r="AI32" s="138"/>
      <c r="AJ32" s="138"/>
      <c r="AK32" s="138"/>
      <c r="AL32" s="138"/>
    </row>
    <row r="33" spans="2:38" x14ac:dyDescent="0.25">
      <c r="B33" s="71"/>
      <c r="G33" s="79"/>
      <c r="H33" s="71"/>
      <c r="I33" s="79"/>
      <c r="J33" s="71"/>
      <c r="K33" s="79"/>
      <c r="L33" s="79"/>
      <c r="M33" s="79"/>
      <c r="N33" s="71"/>
      <c r="O33" s="79"/>
      <c r="P33" s="71"/>
      <c r="R33" s="71"/>
      <c r="S33" s="79"/>
      <c r="T33" s="71"/>
      <c r="V33" s="71"/>
      <c r="W33" s="79"/>
      <c r="X33" s="79"/>
      <c r="Z33" s="79" t="s">
        <v>108</v>
      </c>
      <c r="AA33" s="80" t="s">
        <v>190</v>
      </c>
      <c r="AB33" s="73" t="s">
        <v>107</v>
      </c>
      <c r="AC33" s="137" t="s">
        <v>211</v>
      </c>
      <c r="AD33" s="140"/>
      <c r="AE33" s="141"/>
      <c r="AF33" s="140"/>
      <c r="AG33" s="139"/>
      <c r="AH33" s="138"/>
      <c r="AI33" s="138"/>
      <c r="AJ33" s="138"/>
      <c r="AK33" s="138"/>
      <c r="AL33" s="138"/>
    </row>
    <row r="34" spans="2:38" x14ac:dyDescent="0.25">
      <c r="B34" s="71"/>
      <c r="G34" s="79"/>
      <c r="H34" s="71"/>
      <c r="I34" s="79"/>
      <c r="J34" s="71"/>
      <c r="K34" s="79"/>
      <c r="L34" s="79"/>
      <c r="M34" s="79"/>
      <c r="N34" s="71"/>
      <c r="O34" s="79"/>
      <c r="P34" s="71"/>
      <c r="R34" s="71"/>
      <c r="S34" s="79"/>
      <c r="T34" s="71"/>
      <c r="V34" s="71"/>
      <c r="W34" s="79"/>
      <c r="X34" s="79"/>
      <c r="Z34" s="79"/>
      <c r="AB34" s="71"/>
      <c r="AF34" s="71" t="s">
        <v>106</v>
      </c>
      <c r="AG34" s="93" t="s">
        <v>174</v>
      </c>
      <c r="AH34" s="138"/>
      <c r="AI34" s="138"/>
      <c r="AJ34" s="138"/>
      <c r="AK34" s="138"/>
      <c r="AL34" s="138"/>
    </row>
    <row r="35" spans="2:38" x14ac:dyDescent="0.25">
      <c r="B35" s="71"/>
      <c r="G35" s="79"/>
      <c r="H35" s="71"/>
      <c r="I35" s="79"/>
      <c r="J35" s="71"/>
      <c r="K35" s="79"/>
      <c r="L35" s="79"/>
      <c r="M35" s="79"/>
      <c r="N35" s="71"/>
      <c r="O35" s="79"/>
      <c r="P35" s="71"/>
      <c r="R35" s="71"/>
      <c r="S35" s="79"/>
      <c r="T35" s="71"/>
      <c r="V35" s="71"/>
      <c r="W35" s="79"/>
      <c r="X35" s="79"/>
      <c r="Z35" s="79"/>
      <c r="AB35" s="71"/>
      <c r="AD35" s="71" t="s">
        <v>106</v>
      </c>
      <c r="AE35" s="79" t="s">
        <v>174</v>
      </c>
      <c r="AF35" s="71" t="s">
        <v>107</v>
      </c>
      <c r="AG35" s="93" t="s">
        <v>173</v>
      </c>
      <c r="AH35" s="138"/>
      <c r="AI35" s="138"/>
      <c r="AJ35" s="138"/>
      <c r="AK35" s="138"/>
      <c r="AL35" s="138"/>
    </row>
    <row r="36" spans="2:38" x14ac:dyDescent="0.25">
      <c r="B36" s="71"/>
      <c r="G36" s="79"/>
      <c r="H36" s="71"/>
      <c r="I36" s="79"/>
      <c r="J36" s="71"/>
      <c r="K36" s="79"/>
      <c r="L36" s="79"/>
      <c r="M36" s="79"/>
      <c r="N36" s="71"/>
      <c r="O36" s="79"/>
      <c r="P36" s="71"/>
      <c r="R36" s="71"/>
      <c r="S36" s="79"/>
      <c r="T36" s="71"/>
      <c r="V36" s="71"/>
      <c r="W36" s="79"/>
      <c r="X36" s="79"/>
      <c r="Z36" s="79"/>
      <c r="AB36" s="71"/>
      <c r="AD36" s="73"/>
      <c r="AE36" s="80"/>
      <c r="AF36" s="73" t="s">
        <v>108</v>
      </c>
      <c r="AG36" s="98" t="s">
        <v>172</v>
      </c>
      <c r="AH36" s="138"/>
      <c r="AI36" s="138"/>
      <c r="AJ36" s="138"/>
      <c r="AK36" s="138"/>
      <c r="AL36" s="138"/>
    </row>
    <row r="37" spans="2:38" x14ac:dyDescent="0.25">
      <c r="B37" s="71"/>
      <c r="G37" s="79"/>
      <c r="H37" s="71"/>
      <c r="I37" s="79"/>
      <c r="J37" s="71"/>
      <c r="K37" s="79"/>
      <c r="L37" s="79"/>
      <c r="M37" s="79"/>
      <c r="N37" s="71"/>
      <c r="O37" s="79"/>
      <c r="P37" s="71"/>
      <c r="R37" s="71"/>
      <c r="S37" s="79"/>
      <c r="T37" s="71"/>
      <c r="V37" s="71"/>
      <c r="W37" s="79"/>
      <c r="X37" s="79"/>
      <c r="Z37" s="79"/>
      <c r="AB37" s="71"/>
      <c r="AD37" s="71"/>
      <c r="AF37" s="71" t="s">
        <v>106</v>
      </c>
      <c r="AG37" s="93" t="s">
        <v>177</v>
      </c>
      <c r="AH37" s="138"/>
      <c r="AI37" s="138"/>
      <c r="AJ37" s="138"/>
      <c r="AK37" s="138"/>
      <c r="AL37" s="138"/>
    </row>
    <row r="38" spans="2:38" x14ac:dyDescent="0.25">
      <c r="B38" s="71"/>
      <c r="G38" s="79"/>
      <c r="H38" s="71"/>
      <c r="I38" s="79"/>
      <c r="J38" s="71"/>
      <c r="K38" s="79"/>
      <c r="L38" s="79"/>
      <c r="M38" s="79"/>
      <c r="N38" s="71"/>
      <c r="O38" s="79"/>
      <c r="P38" s="71"/>
      <c r="R38" s="71"/>
      <c r="S38" s="79"/>
      <c r="T38" s="71"/>
      <c r="V38" s="71"/>
      <c r="W38" s="79"/>
      <c r="X38" s="71"/>
      <c r="Z38" s="71"/>
      <c r="AB38" s="71" t="s">
        <v>108</v>
      </c>
      <c r="AC38" s="79" t="s">
        <v>174</v>
      </c>
      <c r="AD38" s="71" t="s">
        <v>107</v>
      </c>
      <c r="AE38" s="79" t="s">
        <v>173</v>
      </c>
      <c r="AF38" s="71" t="s">
        <v>107</v>
      </c>
      <c r="AG38" s="93" t="s">
        <v>176</v>
      </c>
      <c r="AH38" s="138"/>
      <c r="AI38" s="138"/>
      <c r="AJ38" s="138"/>
      <c r="AK38" s="138"/>
      <c r="AL38" s="138"/>
    </row>
    <row r="39" spans="2:38" x14ac:dyDescent="0.25">
      <c r="B39" s="71"/>
      <c r="G39" s="79"/>
      <c r="H39" s="71"/>
      <c r="I39" s="79"/>
      <c r="J39" s="71"/>
      <c r="K39" s="79"/>
      <c r="L39" s="79"/>
      <c r="M39" s="79"/>
      <c r="N39" s="71"/>
      <c r="O39" s="79"/>
      <c r="P39" s="71"/>
      <c r="R39" s="71"/>
      <c r="S39" s="79"/>
      <c r="T39" s="71"/>
      <c r="V39" s="71"/>
      <c r="W39" s="79"/>
      <c r="X39" s="71"/>
      <c r="Z39" s="71"/>
      <c r="AB39" s="71"/>
      <c r="AD39" s="73"/>
      <c r="AE39" s="80"/>
      <c r="AF39" s="73" t="s">
        <v>108</v>
      </c>
      <c r="AG39" s="98" t="s">
        <v>175</v>
      </c>
      <c r="AH39" s="138"/>
      <c r="AI39" s="138"/>
      <c r="AJ39" s="138"/>
      <c r="AK39" s="138"/>
      <c r="AL39" s="138"/>
    </row>
    <row r="40" spans="2:38" x14ac:dyDescent="0.25">
      <c r="B40" s="71"/>
      <c r="G40" s="79"/>
      <c r="H40" s="71"/>
      <c r="I40" s="79"/>
      <c r="J40" s="71"/>
      <c r="K40" s="79"/>
      <c r="L40" s="79"/>
      <c r="M40" s="79"/>
      <c r="N40" s="71"/>
      <c r="O40" s="79"/>
      <c r="P40" s="71"/>
      <c r="R40" s="71"/>
      <c r="S40" s="79"/>
      <c r="T40" s="71"/>
      <c r="V40" s="71"/>
      <c r="W40" s="79"/>
      <c r="X40" s="71"/>
      <c r="Z40" s="71"/>
      <c r="AB40" s="71"/>
      <c r="AD40" s="71"/>
      <c r="AF40" s="71" t="s">
        <v>106</v>
      </c>
      <c r="AG40" s="93" t="s">
        <v>180</v>
      </c>
      <c r="AH40" s="138"/>
      <c r="AI40" s="138"/>
      <c r="AJ40" s="138"/>
      <c r="AK40" s="138"/>
      <c r="AL40" s="138"/>
    </row>
    <row r="41" spans="2:38" x14ac:dyDescent="0.25">
      <c r="B41" s="71"/>
      <c r="G41" s="79"/>
      <c r="H41" s="71"/>
      <c r="I41" s="79"/>
      <c r="J41" s="71"/>
      <c r="K41" s="79"/>
      <c r="L41" s="79"/>
      <c r="M41" s="79"/>
      <c r="N41" s="71"/>
      <c r="O41" s="79"/>
      <c r="P41" s="71"/>
      <c r="R41" s="71"/>
      <c r="S41" s="79"/>
      <c r="T41" s="71"/>
      <c r="V41" s="71"/>
      <c r="W41" s="79"/>
      <c r="X41" s="71"/>
      <c r="Z41" s="71"/>
      <c r="AA41" s="71"/>
      <c r="AB41" s="71"/>
      <c r="AC41" s="71"/>
      <c r="AD41" s="71" t="s">
        <v>108</v>
      </c>
      <c r="AE41" s="79" t="s">
        <v>172</v>
      </c>
      <c r="AF41" s="71" t="s">
        <v>107</v>
      </c>
      <c r="AG41" s="93" t="s">
        <v>179</v>
      </c>
      <c r="AH41" s="138"/>
      <c r="AI41" s="138"/>
      <c r="AJ41" s="138"/>
      <c r="AK41" s="138"/>
      <c r="AL41" s="138"/>
    </row>
    <row r="42" spans="2:38" x14ac:dyDescent="0.25">
      <c r="B42" s="71"/>
      <c r="G42" s="79"/>
      <c r="H42" s="71"/>
      <c r="I42" s="79"/>
      <c r="J42" s="71"/>
      <c r="K42" s="79"/>
      <c r="L42" s="79"/>
      <c r="M42" s="79"/>
      <c r="N42" s="71"/>
      <c r="O42" s="79"/>
      <c r="P42" s="71"/>
      <c r="R42" s="71"/>
      <c r="S42" s="79"/>
      <c r="T42" s="71"/>
      <c r="V42" s="71"/>
      <c r="W42" s="79"/>
      <c r="X42" s="71"/>
      <c r="Z42" s="71"/>
      <c r="AA42" s="80"/>
      <c r="AB42" s="73"/>
      <c r="AC42" s="80"/>
      <c r="AD42" s="73"/>
      <c r="AE42" s="80"/>
      <c r="AF42" s="73" t="s">
        <v>108</v>
      </c>
      <c r="AG42" s="98" t="s">
        <v>178</v>
      </c>
      <c r="AH42" s="138"/>
      <c r="AI42" s="138"/>
      <c r="AJ42" s="138"/>
      <c r="AK42" s="138"/>
      <c r="AL42" s="138"/>
    </row>
    <row r="43" spans="2:38" x14ac:dyDescent="0.25">
      <c r="B43" s="71"/>
      <c r="G43" s="79"/>
      <c r="H43" s="71"/>
      <c r="I43" s="79"/>
      <c r="J43" s="71"/>
      <c r="K43" s="79"/>
      <c r="L43" s="79"/>
      <c r="M43" s="79"/>
      <c r="N43" s="71"/>
      <c r="O43" s="79"/>
      <c r="P43" s="71"/>
      <c r="R43" s="71"/>
      <c r="S43" s="79"/>
      <c r="T43" s="71"/>
      <c r="V43" s="71"/>
      <c r="W43" s="79"/>
      <c r="X43" s="71"/>
      <c r="Z43" s="71" t="s">
        <v>106</v>
      </c>
      <c r="AA43" s="93" t="s">
        <v>182</v>
      </c>
      <c r="AB43" s="138"/>
      <c r="AC43" s="139"/>
      <c r="AD43" s="138"/>
      <c r="AE43" s="139"/>
      <c r="AF43" s="138"/>
      <c r="AG43" s="139"/>
      <c r="AH43" s="138"/>
      <c r="AI43" s="138"/>
      <c r="AJ43" s="138"/>
      <c r="AK43" s="138"/>
      <c r="AL43" s="138"/>
    </row>
    <row r="44" spans="2:38" x14ac:dyDescent="0.25">
      <c r="B44" s="71"/>
      <c r="G44" s="79"/>
      <c r="H44" s="71"/>
      <c r="I44" s="79"/>
      <c r="J44" s="71"/>
      <c r="K44" s="79"/>
      <c r="L44" s="79"/>
      <c r="M44" s="79"/>
      <c r="N44" s="71"/>
      <c r="O44" s="79"/>
      <c r="P44" s="71"/>
      <c r="R44" s="71"/>
      <c r="S44" s="79"/>
      <c r="T44" s="71"/>
      <c r="V44" s="71"/>
      <c r="W44" s="71"/>
      <c r="X44" s="71" t="s">
        <v>108</v>
      </c>
      <c r="Y44" s="79" t="s">
        <v>171</v>
      </c>
      <c r="Z44" s="71" t="s">
        <v>107</v>
      </c>
      <c r="AA44" s="93" t="s">
        <v>181</v>
      </c>
      <c r="AB44" s="138"/>
      <c r="AC44" s="139"/>
      <c r="AD44" s="138"/>
      <c r="AE44" s="139"/>
      <c r="AF44" s="138"/>
      <c r="AG44" s="139"/>
      <c r="AH44" s="138"/>
      <c r="AI44" s="138"/>
      <c r="AJ44" s="138"/>
      <c r="AK44" s="138"/>
      <c r="AL44" s="138"/>
    </row>
    <row r="45" spans="2:38" x14ac:dyDescent="0.25">
      <c r="B45" s="71"/>
      <c r="G45" s="79"/>
      <c r="H45" s="71"/>
      <c r="I45" s="79"/>
      <c r="J45" s="71"/>
      <c r="K45" s="79"/>
      <c r="L45" s="79"/>
      <c r="M45" s="79"/>
      <c r="N45" s="71"/>
      <c r="O45" s="79"/>
      <c r="P45" s="71"/>
      <c r="R45" s="71"/>
      <c r="S45" s="79"/>
      <c r="T45" s="71"/>
      <c r="V45" s="71"/>
      <c r="W45" s="79"/>
      <c r="X45" s="73"/>
      <c r="Y45" s="80"/>
      <c r="Z45" s="73" t="s">
        <v>108</v>
      </c>
      <c r="AA45" s="98" t="s">
        <v>170</v>
      </c>
      <c r="AB45" s="138"/>
      <c r="AC45" s="139"/>
      <c r="AD45" s="138"/>
      <c r="AE45" s="139"/>
      <c r="AF45" s="138"/>
      <c r="AG45" s="139"/>
      <c r="AH45" s="138"/>
      <c r="AI45" s="138"/>
      <c r="AJ45" s="138"/>
      <c r="AK45" s="138"/>
      <c r="AL45" s="138"/>
    </row>
    <row r="46" spans="2:38" x14ac:dyDescent="0.25">
      <c r="B46" s="71"/>
      <c r="G46" s="79"/>
      <c r="H46" s="71"/>
      <c r="I46" s="79"/>
      <c r="J46" s="71"/>
      <c r="K46" s="79"/>
      <c r="L46" s="79"/>
      <c r="M46" s="79"/>
      <c r="N46" s="71"/>
      <c r="O46" s="79"/>
      <c r="P46" s="71"/>
      <c r="R46" s="71"/>
      <c r="S46" s="79"/>
      <c r="T46" s="71"/>
      <c r="V46" s="71"/>
      <c r="W46" s="79"/>
      <c r="X46" s="71"/>
      <c r="Z46" s="73" t="s">
        <v>106</v>
      </c>
      <c r="AA46" s="98" t="s">
        <v>189</v>
      </c>
      <c r="AB46" s="140"/>
      <c r="AC46" s="141"/>
      <c r="AD46" s="140"/>
      <c r="AE46" s="141"/>
      <c r="AF46" s="140"/>
      <c r="AG46" s="141"/>
      <c r="AH46" s="140"/>
      <c r="AI46" s="138"/>
      <c r="AJ46" s="138"/>
      <c r="AK46" s="138"/>
      <c r="AL46" s="138"/>
    </row>
    <row r="47" spans="2:38" x14ac:dyDescent="0.25">
      <c r="B47" s="71"/>
      <c r="G47" s="79"/>
      <c r="H47" s="71"/>
      <c r="I47" s="79"/>
      <c r="J47" s="71"/>
      <c r="K47" s="79"/>
      <c r="L47" s="79"/>
      <c r="M47" s="79"/>
      <c r="N47" s="71"/>
      <c r="O47" s="79"/>
      <c r="P47" s="71"/>
      <c r="R47" s="71"/>
      <c r="S47" s="79"/>
      <c r="T47" s="71"/>
      <c r="V47" s="71"/>
      <c r="W47" s="79"/>
      <c r="X47" s="71"/>
      <c r="Z47" s="71"/>
      <c r="AB47" s="71" t="s">
        <v>106</v>
      </c>
      <c r="AC47" s="135" t="s">
        <v>215</v>
      </c>
      <c r="AD47" s="138"/>
      <c r="AE47" s="139"/>
      <c r="AF47" s="138"/>
      <c r="AG47" s="139"/>
      <c r="AH47" s="138"/>
      <c r="AI47" s="138"/>
      <c r="AJ47" s="138"/>
      <c r="AK47" s="138"/>
      <c r="AL47" s="138"/>
    </row>
    <row r="48" spans="2:38" x14ac:dyDescent="0.25">
      <c r="B48" s="71"/>
      <c r="G48" s="79"/>
      <c r="H48" s="71"/>
      <c r="I48" s="79"/>
      <c r="J48" s="71"/>
      <c r="K48" s="79"/>
      <c r="L48" s="79"/>
      <c r="M48" s="79"/>
      <c r="N48" s="71"/>
      <c r="O48" s="79"/>
      <c r="P48" s="71"/>
      <c r="R48" s="71"/>
      <c r="S48" s="79"/>
      <c r="T48" s="71"/>
      <c r="V48" s="71"/>
      <c r="W48" s="79"/>
      <c r="X48" s="71" t="s">
        <v>106</v>
      </c>
      <c r="Y48" s="79" t="s">
        <v>186</v>
      </c>
      <c r="Z48" s="71" t="s">
        <v>107</v>
      </c>
      <c r="AA48" s="79" t="s">
        <v>200</v>
      </c>
      <c r="AB48" s="73" t="s">
        <v>107</v>
      </c>
      <c r="AC48" s="137" t="s">
        <v>214</v>
      </c>
      <c r="AD48" s="140"/>
      <c r="AE48" s="141"/>
      <c r="AF48" s="140"/>
      <c r="AG48" s="141"/>
      <c r="AH48" s="140"/>
      <c r="AI48" s="138"/>
      <c r="AJ48" s="138"/>
      <c r="AK48" s="138"/>
      <c r="AL48" s="138"/>
    </row>
    <row r="49" spans="2:38" x14ac:dyDescent="0.25">
      <c r="B49" s="71"/>
      <c r="G49" s="79"/>
      <c r="H49" s="71"/>
      <c r="I49" s="79"/>
      <c r="J49" s="71"/>
      <c r="K49" s="79"/>
      <c r="L49" s="79"/>
      <c r="M49" s="79"/>
      <c r="N49" s="71"/>
      <c r="O49" s="79"/>
      <c r="P49" s="71"/>
      <c r="R49" s="71"/>
      <c r="S49" s="79"/>
      <c r="T49" s="71"/>
      <c r="V49" s="71"/>
      <c r="W49" s="79"/>
      <c r="X49" s="71"/>
      <c r="Z49" s="71"/>
      <c r="AB49" s="71"/>
      <c r="AD49" s="71" t="s">
        <v>106</v>
      </c>
      <c r="AE49" s="93" t="s">
        <v>186</v>
      </c>
      <c r="AF49" s="138"/>
      <c r="AG49" s="139"/>
      <c r="AH49" s="138"/>
      <c r="AI49" s="138"/>
      <c r="AJ49" s="138"/>
      <c r="AK49" s="138"/>
      <c r="AL49" s="138"/>
    </row>
    <row r="50" spans="2:38" x14ac:dyDescent="0.25">
      <c r="B50" s="71"/>
      <c r="G50" s="79"/>
      <c r="H50" s="71"/>
      <c r="I50" s="79"/>
      <c r="J50" s="71"/>
      <c r="K50" s="79"/>
      <c r="L50" s="79"/>
      <c r="M50" s="79"/>
      <c r="N50" s="71"/>
      <c r="O50" s="79"/>
      <c r="P50" s="71"/>
      <c r="R50" s="71"/>
      <c r="S50" s="79"/>
      <c r="T50" s="71"/>
      <c r="V50" s="71"/>
      <c r="W50" s="79"/>
      <c r="X50" s="71"/>
      <c r="Z50" s="71"/>
      <c r="AB50" s="71" t="s">
        <v>108</v>
      </c>
      <c r="AC50" s="79" t="s">
        <v>213</v>
      </c>
      <c r="AD50" s="71" t="s">
        <v>107</v>
      </c>
      <c r="AE50" s="93" t="s">
        <v>185</v>
      </c>
      <c r="AF50" s="138"/>
      <c r="AG50" s="139"/>
      <c r="AH50" s="138"/>
      <c r="AI50" s="138"/>
      <c r="AJ50" s="138"/>
      <c r="AK50" s="138"/>
      <c r="AL50" s="138"/>
    </row>
    <row r="51" spans="2:38" x14ac:dyDescent="0.25">
      <c r="B51" s="71"/>
      <c r="G51" s="79"/>
      <c r="H51" s="71"/>
      <c r="I51" s="79"/>
      <c r="J51" s="71"/>
      <c r="K51" s="79"/>
      <c r="L51" s="79"/>
      <c r="M51" s="79"/>
      <c r="N51" s="71"/>
      <c r="O51" s="79"/>
      <c r="P51" s="71"/>
      <c r="R51" s="71"/>
      <c r="S51" s="79"/>
      <c r="T51" s="71"/>
      <c r="V51" s="71"/>
      <c r="W51" s="79"/>
      <c r="X51" s="71"/>
      <c r="Z51" s="71"/>
      <c r="AA51" s="80"/>
      <c r="AB51" s="73"/>
      <c r="AC51" s="80"/>
      <c r="AD51" s="73" t="s">
        <v>108</v>
      </c>
      <c r="AE51" s="98" t="s">
        <v>163</v>
      </c>
      <c r="AF51" s="140"/>
      <c r="AG51" s="141"/>
      <c r="AH51" s="140"/>
      <c r="AI51" s="138"/>
      <c r="AJ51" s="138"/>
      <c r="AK51" s="138"/>
      <c r="AL51" s="138"/>
    </row>
    <row r="52" spans="2:38" x14ac:dyDescent="0.25">
      <c r="B52" s="71"/>
      <c r="G52" s="79"/>
      <c r="H52" s="71"/>
      <c r="I52" s="79"/>
      <c r="J52" s="71"/>
      <c r="K52" s="79"/>
      <c r="L52" s="79"/>
      <c r="M52" s="79"/>
      <c r="N52" s="71"/>
      <c r="O52" s="79"/>
      <c r="P52" s="71"/>
      <c r="R52" s="71"/>
      <c r="S52" s="79"/>
      <c r="T52" s="71"/>
      <c r="V52" s="71"/>
      <c r="W52" s="79"/>
      <c r="X52" s="71"/>
      <c r="Z52" s="71"/>
      <c r="AB52" s="71" t="s">
        <v>106</v>
      </c>
      <c r="AC52" s="93" t="s">
        <v>203</v>
      </c>
      <c r="AD52" s="138"/>
      <c r="AE52" s="139"/>
      <c r="AF52" s="138"/>
      <c r="AG52" s="139"/>
      <c r="AH52" s="138"/>
      <c r="AI52" s="138"/>
      <c r="AJ52" s="138"/>
      <c r="AK52" s="138"/>
      <c r="AL52" s="138"/>
    </row>
    <row r="53" spans="2:38" x14ac:dyDescent="0.25">
      <c r="B53" s="71"/>
      <c r="G53" s="79"/>
      <c r="H53" s="71"/>
      <c r="I53" s="79"/>
      <c r="J53" s="71"/>
      <c r="K53" s="79"/>
      <c r="L53" s="79"/>
      <c r="M53" s="79"/>
      <c r="N53" s="71"/>
      <c r="O53" s="79"/>
      <c r="P53" s="71"/>
      <c r="R53" s="71"/>
      <c r="S53" s="79"/>
      <c r="T53" s="71"/>
      <c r="V53" s="71"/>
      <c r="W53" s="79"/>
      <c r="X53" s="79"/>
      <c r="Z53" s="79" t="s">
        <v>108</v>
      </c>
      <c r="AA53" s="79" t="s">
        <v>191</v>
      </c>
      <c r="AB53" s="71" t="s">
        <v>107</v>
      </c>
      <c r="AC53" s="93" t="s">
        <v>202</v>
      </c>
      <c r="AD53" s="139"/>
      <c r="AE53" s="139"/>
      <c r="AF53" s="139"/>
      <c r="AG53" s="139"/>
      <c r="AH53" s="138"/>
      <c r="AI53" s="138"/>
      <c r="AJ53" s="138"/>
      <c r="AK53" s="138"/>
      <c r="AL53" s="138"/>
    </row>
    <row r="54" spans="2:38" x14ac:dyDescent="0.25">
      <c r="B54" s="71"/>
      <c r="G54" s="79"/>
      <c r="H54" s="71"/>
      <c r="I54" s="79"/>
      <c r="J54" s="71"/>
      <c r="K54" s="79"/>
      <c r="L54" s="79"/>
      <c r="M54" s="79"/>
      <c r="N54" s="71"/>
      <c r="O54" s="79"/>
      <c r="P54" s="71"/>
      <c r="R54" s="71"/>
      <c r="S54" s="79"/>
      <c r="T54" s="71"/>
      <c r="V54" s="71"/>
      <c r="W54" s="79"/>
      <c r="X54" s="73"/>
      <c r="Y54" s="80"/>
      <c r="Z54" s="73"/>
      <c r="AA54" s="80"/>
      <c r="AB54" s="73" t="s">
        <v>108</v>
      </c>
      <c r="AC54" s="98" t="s">
        <v>201</v>
      </c>
      <c r="AD54" s="140"/>
      <c r="AE54" s="141"/>
      <c r="AF54" s="140"/>
      <c r="AG54" s="141"/>
      <c r="AH54" s="138"/>
      <c r="AI54" s="138"/>
      <c r="AJ54" s="138"/>
      <c r="AK54" s="138"/>
      <c r="AL54" s="138"/>
    </row>
    <row r="55" spans="2:38" x14ac:dyDescent="0.25">
      <c r="B55" s="71"/>
      <c r="G55" s="79"/>
      <c r="H55" s="71"/>
      <c r="I55" s="79"/>
      <c r="J55" s="71"/>
      <c r="K55" s="79"/>
      <c r="L55" s="79"/>
      <c r="M55" s="79"/>
      <c r="N55" s="71"/>
      <c r="O55" s="79"/>
      <c r="P55" s="71"/>
      <c r="R55" s="71"/>
      <c r="S55" s="79"/>
      <c r="T55" s="71"/>
      <c r="V55" s="71"/>
      <c r="W55" s="79"/>
      <c r="X55" s="71"/>
      <c r="Z55" s="71"/>
      <c r="AB55" s="73" t="s">
        <v>106</v>
      </c>
      <c r="AC55" s="137" t="s">
        <v>212</v>
      </c>
      <c r="AD55" s="140"/>
      <c r="AE55" s="141"/>
      <c r="AF55" s="140"/>
      <c r="AG55" s="141"/>
      <c r="AH55" s="138"/>
      <c r="AI55" s="138"/>
      <c r="AJ55" s="138"/>
      <c r="AK55" s="138"/>
      <c r="AL55" s="138"/>
    </row>
    <row r="56" spans="2:38" x14ac:dyDescent="0.25">
      <c r="B56" s="71"/>
      <c r="G56" s="79"/>
      <c r="H56" s="71"/>
      <c r="I56" s="79"/>
      <c r="J56" s="71"/>
      <c r="K56" s="79"/>
      <c r="L56" s="79"/>
      <c r="M56" s="79"/>
      <c r="N56" s="71"/>
      <c r="O56" s="79"/>
      <c r="P56" s="71"/>
      <c r="R56" s="71"/>
      <c r="S56" s="79"/>
      <c r="T56" s="71"/>
      <c r="V56" s="71"/>
      <c r="W56" s="79"/>
      <c r="X56" s="71"/>
      <c r="Z56" s="71" t="s">
        <v>106</v>
      </c>
      <c r="AA56" s="79" t="s">
        <v>190</v>
      </c>
      <c r="AB56" s="73" t="s">
        <v>107</v>
      </c>
      <c r="AC56" s="137" t="s">
        <v>211</v>
      </c>
      <c r="AD56" s="140"/>
      <c r="AE56" s="141"/>
      <c r="AF56" s="140"/>
      <c r="AG56" s="141"/>
      <c r="AH56" s="138"/>
      <c r="AI56" s="138"/>
      <c r="AJ56" s="138"/>
      <c r="AK56" s="138"/>
      <c r="AL56" s="138"/>
    </row>
    <row r="57" spans="2:38" x14ac:dyDescent="0.25">
      <c r="B57" s="71"/>
      <c r="G57" s="79"/>
      <c r="H57" s="71"/>
      <c r="I57" s="79"/>
      <c r="J57" s="71"/>
      <c r="K57" s="79"/>
      <c r="L57" s="79"/>
      <c r="M57" s="79"/>
      <c r="N57" s="71"/>
      <c r="O57" s="79"/>
      <c r="P57" s="71"/>
      <c r="R57" s="71"/>
      <c r="S57" s="79"/>
      <c r="T57" s="71"/>
      <c r="V57" s="71"/>
      <c r="W57" s="79"/>
      <c r="X57" s="71"/>
      <c r="Z57" s="73"/>
      <c r="AA57" s="80"/>
      <c r="AB57" s="73" t="s">
        <v>108</v>
      </c>
      <c r="AC57" s="98" t="s">
        <v>174</v>
      </c>
      <c r="AD57" s="140"/>
      <c r="AE57" s="141"/>
      <c r="AF57" s="140"/>
      <c r="AG57" s="141"/>
      <c r="AH57" s="140"/>
      <c r="AI57" s="138"/>
      <c r="AJ57" s="138"/>
      <c r="AK57" s="138"/>
      <c r="AL57" s="138"/>
    </row>
    <row r="58" spans="2:38" x14ac:dyDescent="0.25">
      <c r="B58" s="71"/>
      <c r="G58" s="79"/>
      <c r="H58" s="71"/>
      <c r="I58" s="79"/>
      <c r="J58" s="71"/>
      <c r="K58" s="79"/>
      <c r="L58" s="79"/>
      <c r="M58" s="79"/>
      <c r="N58" s="71"/>
      <c r="O58" s="79"/>
      <c r="P58" s="71"/>
      <c r="R58" s="71"/>
      <c r="S58" s="79"/>
      <c r="T58" s="71"/>
      <c r="V58" s="71"/>
      <c r="W58" s="79"/>
      <c r="X58" s="71"/>
      <c r="Z58" s="71"/>
      <c r="AB58" s="73" t="s">
        <v>106</v>
      </c>
      <c r="AC58" s="137" t="s">
        <v>217</v>
      </c>
      <c r="AD58" s="140"/>
      <c r="AE58" s="141"/>
      <c r="AF58" s="140"/>
      <c r="AG58" s="141"/>
      <c r="AH58" s="142"/>
      <c r="AI58" s="138"/>
      <c r="AJ58" s="138"/>
      <c r="AK58" s="138"/>
      <c r="AL58" s="138"/>
    </row>
    <row r="59" spans="2:38" ht="13.9" customHeight="1" x14ac:dyDescent="0.25">
      <c r="B59" s="71"/>
      <c r="G59" s="79"/>
      <c r="H59" s="71"/>
      <c r="I59" s="79"/>
      <c r="J59" s="71"/>
      <c r="K59" s="79"/>
      <c r="L59" s="79"/>
      <c r="M59" s="79"/>
      <c r="N59" s="71"/>
      <c r="O59" s="79"/>
      <c r="P59" s="71"/>
      <c r="R59" s="71"/>
      <c r="S59" s="79"/>
      <c r="T59" s="71"/>
      <c r="V59" s="71" t="s">
        <v>108</v>
      </c>
      <c r="W59" s="79" t="s">
        <v>175</v>
      </c>
      <c r="X59" s="71" t="s">
        <v>107</v>
      </c>
      <c r="Y59" s="79" t="s">
        <v>185</v>
      </c>
      <c r="Z59" s="71" t="s">
        <v>107</v>
      </c>
      <c r="AA59" s="79" t="s">
        <v>193</v>
      </c>
      <c r="AB59" s="73" t="s">
        <v>107</v>
      </c>
      <c r="AC59" s="137" t="s">
        <v>216</v>
      </c>
      <c r="AD59" s="140"/>
      <c r="AE59" s="141"/>
      <c r="AF59" s="140"/>
      <c r="AG59" s="141"/>
      <c r="AH59" s="142"/>
      <c r="AI59" s="138"/>
      <c r="AJ59" s="138"/>
      <c r="AK59" s="138"/>
      <c r="AL59" s="138"/>
    </row>
    <row r="60" spans="2:38" ht="13.9" customHeight="1" x14ac:dyDescent="0.25">
      <c r="B60" s="71"/>
      <c r="G60" s="79"/>
      <c r="H60" s="71"/>
      <c r="I60" s="79"/>
      <c r="J60" s="71"/>
      <c r="K60" s="79"/>
      <c r="L60" s="79"/>
      <c r="M60" s="79"/>
      <c r="N60" s="71"/>
      <c r="O60" s="79"/>
      <c r="P60" s="71"/>
      <c r="R60" s="71"/>
      <c r="S60" s="79"/>
      <c r="T60" s="71"/>
      <c r="V60" s="71"/>
      <c r="W60" s="79"/>
      <c r="X60" s="71"/>
      <c r="Z60" s="73"/>
      <c r="AA60" s="80"/>
      <c r="AB60" s="73" t="s">
        <v>108</v>
      </c>
      <c r="AC60" s="98" t="s">
        <v>177</v>
      </c>
      <c r="AD60" s="140"/>
      <c r="AE60" s="141"/>
      <c r="AF60" s="140"/>
      <c r="AG60" s="141"/>
      <c r="AH60" s="140"/>
      <c r="AI60" s="138"/>
      <c r="AJ60" s="138"/>
      <c r="AK60" s="138"/>
      <c r="AL60" s="138"/>
    </row>
    <row r="61" spans="2:38" ht="13.9" customHeight="1" x14ac:dyDescent="0.25">
      <c r="B61" s="71"/>
      <c r="G61" s="79"/>
      <c r="H61" s="71"/>
      <c r="I61" s="79"/>
      <c r="J61" s="71"/>
      <c r="K61" s="79"/>
      <c r="L61" s="79"/>
      <c r="M61" s="79"/>
      <c r="N61" s="71"/>
      <c r="O61" s="79"/>
      <c r="P61" s="71"/>
      <c r="R61" s="71"/>
      <c r="S61" s="79"/>
      <c r="T61" s="71"/>
      <c r="V61" s="71"/>
      <c r="W61" s="79"/>
      <c r="X61" s="71"/>
      <c r="Z61" s="71"/>
      <c r="AB61" s="71"/>
      <c r="AD61" s="71" t="s">
        <v>106</v>
      </c>
      <c r="AE61" s="93" t="s">
        <v>189</v>
      </c>
      <c r="AF61" s="138"/>
      <c r="AG61" s="139"/>
      <c r="AH61" s="138"/>
      <c r="AI61" s="138"/>
      <c r="AJ61" s="138"/>
      <c r="AK61" s="138"/>
      <c r="AL61" s="138"/>
    </row>
    <row r="62" spans="2:38" ht="13.9" customHeight="1" x14ac:dyDescent="0.25">
      <c r="B62" s="71"/>
      <c r="G62" s="79"/>
      <c r="H62" s="71"/>
      <c r="I62" s="79"/>
      <c r="J62" s="71"/>
      <c r="K62" s="79"/>
      <c r="L62" s="79"/>
      <c r="M62" s="79"/>
      <c r="N62" s="71"/>
      <c r="O62" s="79"/>
      <c r="P62" s="71"/>
      <c r="R62" s="71"/>
      <c r="S62" s="79"/>
      <c r="T62" s="71"/>
      <c r="V62" s="71"/>
      <c r="W62" s="79"/>
      <c r="X62" s="71"/>
      <c r="Z62" s="71"/>
      <c r="AB62" s="71" t="s">
        <v>106</v>
      </c>
      <c r="AC62" s="79" t="s">
        <v>199</v>
      </c>
      <c r="AD62" s="71" t="s">
        <v>107</v>
      </c>
      <c r="AE62" s="93" t="s">
        <v>200</v>
      </c>
      <c r="AF62" s="138"/>
      <c r="AG62" s="139"/>
      <c r="AH62" s="138"/>
      <c r="AI62" s="138"/>
      <c r="AJ62" s="138"/>
      <c r="AK62" s="138"/>
      <c r="AL62" s="138"/>
    </row>
    <row r="63" spans="2:38" ht="13.9" customHeight="1" x14ac:dyDescent="0.25">
      <c r="B63" s="71"/>
      <c r="G63" s="79"/>
      <c r="H63" s="71"/>
      <c r="I63" s="79"/>
      <c r="J63" s="71"/>
      <c r="K63" s="79"/>
      <c r="L63" s="79"/>
      <c r="M63" s="79"/>
      <c r="N63" s="71"/>
      <c r="O63" s="79"/>
      <c r="P63" s="71"/>
      <c r="R63" s="71"/>
      <c r="S63" s="79"/>
      <c r="T63" s="71"/>
      <c r="V63" s="71"/>
      <c r="W63" s="79"/>
      <c r="X63" s="71"/>
      <c r="Z63" s="71"/>
      <c r="AB63" s="73"/>
      <c r="AC63" s="80"/>
      <c r="AD63" s="73" t="s">
        <v>108</v>
      </c>
      <c r="AE63" s="98" t="s">
        <v>191</v>
      </c>
      <c r="AF63" s="140"/>
      <c r="AG63" s="141"/>
      <c r="AH63" s="140"/>
      <c r="AI63" s="138"/>
      <c r="AJ63" s="138"/>
      <c r="AK63" s="138"/>
      <c r="AL63" s="138"/>
    </row>
    <row r="64" spans="2:38" ht="13.9" customHeight="1" x14ac:dyDescent="0.25">
      <c r="B64" s="71"/>
      <c r="G64" s="79"/>
      <c r="H64" s="71"/>
      <c r="I64" s="79"/>
      <c r="J64" s="71"/>
      <c r="K64" s="79"/>
      <c r="L64" s="79"/>
      <c r="M64" s="79"/>
      <c r="N64" s="71"/>
      <c r="O64" s="79"/>
      <c r="P64" s="71"/>
      <c r="R64" s="71"/>
      <c r="S64" s="79"/>
      <c r="T64" s="71"/>
      <c r="V64" s="71"/>
      <c r="W64" s="79"/>
      <c r="X64" s="71"/>
      <c r="Z64" s="71"/>
      <c r="AB64" s="71"/>
      <c r="AD64" s="73" t="s">
        <v>106</v>
      </c>
      <c r="AE64" s="98" t="s">
        <v>190</v>
      </c>
      <c r="AF64" s="140"/>
      <c r="AG64" s="141"/>
      <c r="AH64" s="140"/>
      <c r="AI64" s="138"/>
      <c r="AJ64" s="138"/>
      <c r="AK64" s="138"/>
      <c r="AL64" s="138"/>
    </row>
    <row r="65" spans="2:38" ht="13.9" customHeight="1" x14ac:dyDescent="0.25">
      <c r="B65" s="71"/>
      <c r="G65" s="79"/>
      <c r="H65" s="71"/>
      <c r="I65" s="79"/>
      <c r="J65" s="71"/>
      <c r="K65" s="79"/>
      <c r="L65" s="79"/>
      <c r="M65" s="79"/>
      <c r="N65" s="71"/>
      <c r="O65" s="79"/>
      <c r="P65" s="71"/>
      <c r="R65" s="71"/>
      <c r="S65" s="79"/>
      <c r="T65" s="71"/>
      <c r="V65" s="71"/>
      <c r="W65" s="79"/>
      <c r="X65" s="71"/>
      <c r="Z65" s="71"/>
      <c r="AB65" s="71"/>
      <c r="AD65" s="71"/>
      <c r="AF65" s="71" t="s">
        <v>106</v>
      </c>
      <c r="AG65" s="135" t="s">
        <v>217</v>
      </c>
      <c r="AH65" s="138"/>
      <c r="AI65" s="138"/>
      <c r="AJ65" s="138"/>
      <c r="AK65" s="138"/>
      <c r="AL65" s="138"/>
    </row>
    <row r="66" spans="2:38" ht="13.9" customHeight="1" x14ac:dyDescent="0.25">
      <c r="B66" s="71"/>
      <c r="G66" s="79"/>
      <c r="H66" s="71"/>
      <c r="I66" s="79"/>
      <c r="J66" s="71"/>
      <c r="K66" s="79"/>
      <c r="L66" s="79"/>
      <c r="M66" s="79"/>
      <c r="N66" s="71"/>
      <c r="O66" s="79"/>
      <c r="P66" s="71"/>
      <c r="R66" s="71"/>
      <c r="S66" s="79"/>
      <c r="T66" s="71"/>
      <c r="V66" s="71"/>
      <c r="W66" s="79"/>
      <c r="Y66"/>
      <c r="Z66" t="s">
        <v>108</v>
      </c>
      <c r="AA66" s="2" t="s">
        <v>192</v>
      </c>
      <c r="AB66" s="71" t="s">
        <v>107</v>
      </c>
      <c r="AC66" s="79" t="s">
        <v>198</v>
      </c>
      <c r="AD66" s="71" t="s">
        <v>107</v>
      </c>
      <c r="AE66" s="79" t="s">
        <v>193</v>
      </c>
      <c r="AF66" s="71" t="s">
        <v>107</v>
      </c>
      <c r="AG66" s="135" t="s">
        <v>216</v>
      </c>
      <c r="AH66" s="138"/>
      <c r="AI66" s="138"/>
      <c r="AJ66" s="138"/>
      <c r="AK66" s="138"/>
      <c r="AL66" s="138"/>
    </row>
    <row r="67" spans="2:38" ht="13.9" customHeight="1" x14ac:dyDescent="0.25">
      <c r="B67" s="71"/>
      <c r="G67" s="79"/>
      <c r="H67" s="71"/>
      <c r="I67" s="79"/>
      <c r="J67" s="71"/>
      <c r="K67" s="79"/>
      <c r="L67" s="79"/>
      <c r="M67" s="79"/>
      <c r="N67" s="71"/>
      <c r="O67" s="79"/>
      <c r="P67" s="71"/>
      <c r="R67" s="71"/>
      <c r="S67" s="79"/>
      <c r="T67" s="71"/>
      <c r="V67" s="71"/>
      <c r="W67" s="79"/>
      <c r="Y67"/>
      <c r="AA67" s="2"/>
      <c r="AB67" s="71"/>
      <c r="AD67" s="73"/>
      <c r="AE67" s="80"/>
      <c r="AF67" s="73" t="s">
        <v>108</v>
      </c>
      <c r="AG67" s="98" t="s">
        <v>177</v>
      </c>
      <c r="AH67" s="140"/>
      <c r="AI67" s="138"/>
      <c r="AJ67" s="138"/>
      <c r="AK67" s="138"/>
      <c r="AL67" s="138"/>
    </row>
    <row r="68" spans="2:38" ht="13.9" customHeight="1" x14ac:dyDescent="0.25">
      <c r="B68" s="71"/>
      <c r="G68" s="79"/>
      <c r="H68" s="71"/>
      <c r="I68" s="79"/>
      <c r="J68" s="71"/>
      <c r="K68" s="79"/>
      <c r="L68" s="79"/>
      <c r="M68" s="79"/>
      <c r="N68" s="71"/>
      <c r="O68" s="79"/>
      <c r="P68" s="71"/>
      <c r="R68" s="71"/>
      <c r="S68" s="79"/>
      <c r="T68" s="71"/>
      <c r="V68" s="71"/>
      <c r="W68" s="79"/>
      <c r="Y68"/>
      <c r="AA68" s="2"/>
      <c r="AB68" s="71"/>
      <c r="AD68" s="71"/>
      <c r="AF68" s="73" t="s">
        <v>106</v>
      </c>
      <c r="AG68" s="98" t="s">
        <v>199</v>
      </c>
      <c r="AH68" s="140"/>
      <c r="AI68" s="142"/>
      <c r="AJ68" s="138"/>
      <c r="AK68" s="138"/>
      <c r="AL68" s="138"/>
    </row>
    <row r="69" spans="2:38" ht="13.9" customHeight="1" x14ac:dyDescent="0.25">
      <c r="B69" s="71"/>
      <c r="G69" s="79"/>
      <c r="H69" s="71"/>
      <c r="I69" s="79"/>
      <c r="J69" s="71"/>
      <c r="K69" s="79"/>
      <c r="L69" s="79"/>
      <c r="M69" s="79"/>
      <c r="N69" s="71"/>
      <c r="O69" s="79"/>
      <c r="P69" s="71"/>
      <c r="R69" s="71"/>
      <c r="S69" s="79"/>
      <c r="T69" s="71"/>
      <c r="V69" s="71"/>
      <c r="W69" s="79"/>
      <c r="Y69"/>
      <c r="AA69" s="2"/>
      <c r="AB69" s="71"/>
      <c r="AD69" s="71"/>
      <c r="AF69" s="71"/>
      <c r="AH69" s="71" t="s">
        <v>106</v>
      </c>
      <c r="AI69" s="98" t="s">
        <v>190</v>
      </c>
      <c r="AJ69" s="138"/>
      <c r="AK69" s="138"/>
      <c r="AL69" s="138"/>
    </row>
    <row r="70" spans="2:38" ht="13.9" customHeight="1" x14ac:dyDescent="0.25">
      <c r="B70" s="71"/>
      <c r="G70" s="79"/>
      <c r="H70" s="71"/>
      <c r="I70" s="79"/>
      <c r="J70" s="71"/>
      <c r="K70" s="79"/>
      <c r="L70" s="79"/>
      <c r="M70" s="79"/>
      <c r="N70" s="71"/>
      <c r="O70" s="79"/>
      <c r="P70" s="71"/>
      <c r="R70" s="71"/>
      <c r="S70" s="79"/>
      <c r="T70" s="71"/>
      <c r="V70" s="71"/>
      <c r="W70" s="79"/>
      <c r="Y70"/>
      <c r="AA70" s="2"/>
      <c r="AB70" s="71"/>
      <c r="AD70" s="71" t="s">
        <v>108</v>
      </c>
      <c r="AE70" s="79" t="s">
        <v>192</v>
      </c>
      <c r="AF70" s="71" t="s">
        <v>107</v>
      </c>
      <c r="AG70" s="79" t="s">
        <v>198</v>
      </c>
      <c r="AH70" s="71" t="s">
        <v>107</v>
      </c>
      <c r="AI70" s="93" t="s">
        <v>193</v>
      </c>
      <c r="AJ70" s="138"/>
      <c r="AK70" s="138"/>
      <c r="AL70" s="138"/>
    </row>
    <row r="71" spans="2:38" ht="13.9" customHeight="1" x14ac:dyDescent="0.25">
      <c r="B71" s="71"/>
      <c r="G71" s="79"/>
      <c r="H71" s="71"/>
      <c r="I71" s="79"/>
      <c r="J71" s="71"/>
      <c r="K71" s="79"/>
      <c r="L71" s="79"/>
      <c r="M71" s="79"/>
      <c r="N71" s="71"/>
      <c r="O71" s="79"/>
      <c r="P71" s="71"/>
      <c r="R71" s="71"/>
      <c r="S71" s="79"/>
      <c r="T71" s="71"/>
      <c r="V71" s="71"/>
      <c r="W71" s="79"/>
      <c r="Y71"/>
      <c r="AA71" s="2"/>
      <c r="AB71" s="71"/>
      <c r="AD71" s="71"/>
      <c r="AF71" s="73"/>
      <c r="AG71" s="80"/>
      <c r="AH71" s="73" t="s">
        <v>108</v>
      </c>
      <c r="AI71" s="98" t="s">
        <v>192</v>
      </c>
      <c r="AJ71" s="138"/>
      <c r="AK71" s="138"/>
      <c r="AL71" s="138"/>
    </row>
    <row r="72" spans="2:38" ht="13.9" customHeight="1" x14ac:dyDescent="0.25">
      <c r="B72" s="71"/>
      <c r="G72" s="79"/>
      <c r="H72" s="71"/>
      <c r="I72" s="79"/>
      <c r="J72" s="71"/>
      <c r="K72" s="79"/>
      <c r="L72" s="79"/>
      <c r="M72" s="79"/>
      <c r="N72" s="71"/>
      <c r="O72" s="79"/>
      <c r="P72" s="71"/>
      <c r="R72" s="71"/>
      <c r="S72" s="79"/>
      <c r="T72" s="71"/>
      <c r="V72" s="71"/>
      <c r="W72" s="79"/>
      <c r="Y72"/>
      <c r="AA72" s="2"/>
      <c r="AB72" s="73"/>
      <c r="AC72" s="80"/>
      <c r="AD72" s="73"/>
      <c r="AE72" s="80"/>
      <c r="AF72" s="73" t="s">
        <v>108</v>
      </c>
      <c r="AG72" s="98" t="s">
        <v>180</v>
      </c>
      <c r="AH72" s="140"/>
      <c r="AI72" s="142"/>
      <c r="AJ72" s="138"/>
      <c r="AK72" s="138"/>
      <c r="AL72" s="138"/>
    </row>
    <row r="73" spans="2:38" ht="13.9" customHeight="1" x14ac:dyDescent="0.25">
      <c r="B73" s="71"/>
      <c r="G73" s="79"/>
      <c r="H73" s="71"/>
      <c r="I73" s="79"/>
      <c r="J73" s="71"/>
      <c r="K73" s="79"/>
      <c r="L73" s="79"/>
      <c r="M73" s="79"/>
      <c r="N73" s="71"/>
      <c r="O73" s="79"/>
      <c r="P73" s="71"/>
      <c r="R73" s="71"/>
      <c r="S73" s="79"/>
      <c r="T73" s="71"/>
      <c r="V73" s="71"/>
      <c r="W73" s="79"/>
      <c r="Y73"/>
      <c r="AA73" s="2"/>
      <c r="AB73" s="71"/>
      <c r="AD73" s="73" t="s">
        <v>106</v>
      </c>
      <c r="AE73" s="98" t="s">
        <v>170</v>
      </c>
      <c r="AF73" s="140"/>
      <c r="AG73" s="142"/>
      <c r="AH73" s="140"/>
      <c r="AI73" s="138"/>
      <c r="AJ73" s="138"/>
      <c r="AK73" s="138"/>
      <c r="AL73" s="138"/>
    </row>
    <row r="74" spans="2:38" ht="13.9" customHeight="1" x14ac:dyDescent="0.25">
      <c r="B74" s="71"/>
      <c r="G74" s="79"/>
      <c r="H74" s="71"/>
      <c r="I74" s="79"/>
      <c r="J74" s="71"/>
      <c r="K74" s="79"/>
      <c r="L74" s="79"/>
      <c r="M74" s="79"/>
      <c r="N74" s="71"/>
      <c r="O74" s="79"/>
      <c r="P74" s="71"/>
      <c r="R74" s="71"/>
      <c r="S74" s="79"/>
      <c r="T74" s="71"/>
      <c r="V74" s="71"/>
      <c r="W74" s="79"/>
      <c r="X74" s="79"/>
      <c r="Z74" s="79"/>
      <c r="AB74" s="79" t="s">
        <v>108</v>
      </c>
      <c r="AC74" s="79" t="s">
        <v>180</v>
      </c>
      <c r="AD74" s="73" t="s">
        <v>107</v>
      </c>
      <c r="AE74" s="98" t="s">
        <v>169</v>
      </c>
      <c r="AF74" s="141"/>
      <c r="AG74" s="141"/>
      <c r="AH74" s="140"/>
      <c r="AI74" s="138"/>
      <c r="AJ74" s="138"/>
      <c r="AK74" s="138"/>
      <c r="AL74" s="138"/>
    </row>
    <row r="75" spans="2:38" ht="13.9" customHeight="1" x14ac:dyDescent="0.25">
      <c r="B75" s="71"/>
      <c r="G75" s="79"/>
      <c r="H75" s="71"/>
      <c r="I75" s="79"/>
      <c r="J75" s="71"/>
      <c r="K75" s="79"/>
      <c r="L75" s="79"/>
      <c r="M75" s="79"/>
      <c r="N75" s="71"/>
      <c r="O75" s="79"/>
      <c r="P75" s="71"/>
      <c r="R75" s="71"/>
      <c r="S75" s="79"/>
      <c r="T75" s="71"/>
      <c r="V75" s="71"/>
      <c r="W75" s="79"/>
      <c r="X75" s="79"/>
      <c r="Z75" s="79"/>
      <c r="AB75" s="79"/>
      <c r="AD75" s="71"/>
      <c r="AF75" s="73" t="s">
        <v>106</v>
      </c>
      <c r="AG75" s="98" t="s">
        <v>180</v>
      </c>
      <c r="AH75" s="140"/>
      <c r="AI75" s="140"/>
      <c r="AJ75" s="140"/>
      <c r="AK75" s="140"/>
      <c r="AL75" s="138"/>
    </row>
    <row r="76" spans="2:38" ht="13.9" customHeight="1" x14ac:dyDescent="0.25">
      <c r="B76" s="71"/>
      <c r="G76" s="79"/>
      <c r="H76" s="71"/>
      <c r="I76" s="79"/>
      <c r="J76" s="71"/>
      <c r="K76" s="79"/>
      <c r="L76" s="79"/>
      <c r="M76" s="79"/>
      <c r="N76" s="71"/>
      <c r="O76" s="79"/>
      <c r="P76" s="71"/>
      <c r="R76" s="71"/>
      <c r="S76" s="79"/>
      <c r="T76" s="71"/>
      <c r="V76" s="71"/>
      <c r="W76" s="79"/>
      <c r="X76" s="79"/>
      <c r="Z76" s="79"/>
      <c r="AB76" s="79"/>
      <c r="AD76" s="71"/>
      <c r="AF76" s="71"/>
      <c r="AH76" s="71" t="s">
        <v>106</v>
      </c>
      <c r="AI76" s="93" t="s">
        <v>171</v>
      </c>
      <c r="AJ76" s="140"/>
      <c r="AK76" s="147"/>
      <c r="AL76" s="138"/>
    </row>
    <row r="77" spans="2:38" ht="13.9" customHeight="1" x14ac:dyDescent="0.25">
      <c r="B77" s="71"/>
      <c r="G77" s="79"/>
      <c r="H77" s="71"/>
      <c r="I77" s="79"/>
      <c r="J77" s="71"/>
      <c r="K77" s="79"/>
      <c r="L77" s="79"/>
      <c r="M77" s="79"/>
      <c r="N77" s="71"/>
      <c r="O77" s="79"/>
      <c r="P77" s="71"/>
      <c r="R77" s="71"/>
      <c r="S77" s="79"/>
      <c r="T77" s="71"/>
      <c r="V77" s="71"/>
      <c r="W77" s="79"/>
      <c r="X77" s="79"/>
      <c r="Z77" s="79"/>
      <c r="AB77" s="79"/>
      <c r="AD77" s="71"/>
      <c r="AF77" s="71"/>
      <c r="AH77" s="74"/>
      <c r="AI77" s="136"/>
      <c r="AJ77" s="71" t="s">
        <v>106</v>
      </c>
      <c r="AK77" s="93" t="s">
        <v>184</v>
      </c>
      <c r="AL77" s="138"/>
    </row>
    <row r="78" spans="2:38" ht="13.9" customHeight="1" x14ac:dyDescent="0.25">
      <c r="B78" s="71"/>
      <c r="G78" s="79"/>
      <c r="H78" s="71"/>
      <c r="I78" s="79"/>
      <c r="J78" s="71"/>
      <c r="K78" s="79"/>
      <c r="L78" s="79"/>
      <c r="M78" s="79"/>
      <c r="N78" s="71"/>
      <c r="O78" s="79"/>
      <c r="P78" s="71"/>
      <c r="R78" s="71"/>
      <c r="S78" s="79"/>
      <c r="T78" s="71"/>
      <c r="V78" s="71"/>
      <c r="W78" s="79"/>
      <c r="X78" s="79"/>
      <c r="Z78" s="79"/>
      <c r="AB78" s="79"/>
      <c r="AD78" s="79" t="s">
        <v>108</v>
      </c>
      <c r="AE78" s="79" t="s">
        <v>168</v>
      </c>
      <c r="AF78" s="71" t="s">
        <v>107</v>
      </c>
      <c r="AG78" s="79" t="s">
        <v>179</v>
      </c>
      <c r="AH78" s="71" t="s">
        <v>107</v>
      </c>
      <c r="AI78" s="79" t="s">
        <v>167</v>
      </c>
      <c r="AJ78" s="71" t="s">
        <v>107</v>
      </c>
      <c r="AK78" s="93" t="s">
        <v>183</v>
      </c>
      <c r="AL78" s="138"/>
    </row>
    <row r="79" spans="2:38" ht="13.9" customHeight="1" x14ac:dyDescent="0.25">
      <c r="B79" s="71"/>
      <c r="G79" s="79"/>
      <c r="H79" s="71"/>
      <c r="I79" s="79"/>
      <c r="J79" s="71"/>
      <c r="K79" s="79"/>
      <c r="L79" s="79"/>
      <c r="M79" s="79"/>
      <c r="N79" s="71"/>
      <c r="O79" s="79"/>
      <c r="P79" s="71"/>
      <c r="R79" s="71"/>
      <c r="S79" s="79"/>
      <c r="T79" s="71"/>
      <c r="V79" s="71"/>
      <c r="W79" s="79"/>
      <c r="X79" s="79"/>
      <c r="Z79" s="79"/>
      <c r="AB79" s="79"/>
      <c r="AD79" s="79"/>
      <c r="AF79" s="71"/>
      <c r="AH79" s="71"/>
      <c r="AI79" s="80"/>
      <c r="AJ79" s="73" t="s">
        <v>108</v>
      </c>
      <c r="AK79" s="98" t="s">
        <v>171</v>
      </c>
      <c r="AL79" s="138"/>
    </row>
    <row r="80" spans="2:38" ht="13.9" customHeight="1" x14ac:dyDescent="0.25">
      <c r="B80" s="71"/>
      <c r="G80" s="79"/>
      <c r="H80" s="71"/>
      <c r="I80" s="79"/>
      <c r="J80" s="71"/>
      <c r="K80" s="79"/>
      <c r="L80" s="79"/>
      <c r="M80" s="79"/>
      <c r="N80" s="71"/>
      <c r="O80" s="79"/>
      <c r="P80" s="71"/>
      <c r="R80" s="71"/>
      <c r="S80" s="79"/>
      <c r="T80" s="71"/>
      <c r="V80" s="71"/>
      <c r="W80" s="79"/>
      <c r="X80" s="79"/>
      <c r="Z80" s="79"/>
      <c r="AB80" s="79"/>
      <c r="AD80" s="79"/>
      <c r="AF80" s="71"/>
      <c r="AH80" s="71"/>
      <c r="AI80" s="79"/>
      <c r="AJ80" s="71" t="s">
        <v>106</v>
      </c>
      <c r="AK80" s="93" t="s">
        <v>186</v>
      </c>
      <c r="AL80" s="138"/>
    </row>
    <row r="81" spans="2:38" ht="13.9" customHeight="1" x14ac:dyDescent="0.25">
      <c r="B81" s="71"/>
      <c r="G81" s="79"/>
      <c r="H81" s="71"/>
      <c r="I81" s="79"/>
      <c r="J81" s="71"/>
      <c r="K81" s="79"/>
      <c r="L81" s="79"/>
      <c r="M81" s="79"/>
      <c r="N81" s="71"/>
      <c r="O81" s="79"/>
      <c r="P81" s="71"/>
      <c r="R81" s="71"/>
      <c r="S81" s="79"/>
      <c r="T81" s="71"/>
      <c r="V81" s="71"/>
      <c r="W81" s="79"/>
      <c r="X81" s="79"/>
      <c r="Z81" s="79"/>
      <c r="AB81" s="79"/>
      <c r="AD81" s="79"/>
      <c r="AF81" s="79"/>
      <c r="AH81" s="79" t="s">
        <v>108</v>
      </c>
      <c r="AI81" s="79" t="s">
        <v>166</v>
      </c>
      <c r="AJ81" s="71" t="s">
        <v>107</v>
      </c>
      <c r="AK81" s="93" t="s">
        <v>185</v>
      </c>
      <c r="AL81" s="138"/>
    </row>
    <row r="82" spans="2:38" ht="13.9" customHeight="1" x14ac:dyDescent="0.25">
      <c r="B82" s="71"/>
      <c r="G82" s="79"/>
      <c r="H82" s="71"/>
      <c r="I82" s="79"/>
      <c r="J82" s="71"/>
      <c r="K82" s="79"/>
      <c r="L82" s="79"/>
      <c r="M82" s="79"/>
      <c r="N82" s="71"/>
      <c r="O82" s="79"/>
      <c r="P82" s="71"/>
      <c r="R82" s="71"/>
      <c r="S82" s="79"/>
      <c r="T82" s="71"/>
      <c r="V82" s="71"/>
      <c r="W82" s="79"/>
      <c r="X82" s="79"/>
      <c r="Z82" s="79"/>
      <c r="AB82" s="79"/>
      <c r="AD82" s="79"/>
      <c r="AF82" s="73"/>
      <c r="AG82" s="80"/>
      <c r="AH82" s="73"/>
      <c r="AI82" s="80"/>
      <c r="AJ82" s="73" t="s">
        <v>108</v>
      </c>
      <c r="AK82" s="98" t="s">
        <v>163</v>
      </c>
      <c r="AL82" s="138"/>
    </row>
    <row r="83" spans="2:38" ht="13.9" customHeight="1" x14ac:dyDescent="0.25">
      <c r="B83" s="71"/>
      <c r="G83" s="79"/>
      <c r="H83" s="71"/>
      <c r="I83" s="79"/>
      <c r="J83" s="71"/>
      <c r="K83" s="79"/>
      <c r="L83" s="79"/>
      <c r="M83" s="79"/>
      <c r="N83" s="71"/>
      <c r="O83" s="79"/>
      <c r="P83" s="71"/>
      <c r="R83" s="71"/>
      <c r="S83" s="79"/>
      <c r="T83" s="71"/>
      <c r="V83" s="71"/>
      <c r="W83" s="79"/>
      <c r="X83" s="73"/>
      <c r="Y83" s="80"/>
      <c r="Z83" s="73"/>
      <c r="AA83" s="80"/>
      <c r="AB83" s="73"/>
      <c r="AC83" s="80"/>
      <c r="AD83" s="73"/>
      <c r="AE83" s="80"/>
      <c r="AF83" s="73" t="s">
        <v>108</v>
      </c>
      <c r="AG83" s="98" t="s">
        <v>178</v>
      </c>
      <c r="AH83" s="138"/>
      <c r="AI83" s="138"/>
      <c r="AJ83" s="138"/>
      <c r="AK83" s="138"/>
      <c r="AL83" s="138"/>
    </row>
    <row r="84" spans="2:38" ht="13.9" customHeight="1" x14ac:dyDescent="0.25">
      <c r="B84" s="71"/>
      <c r="G84" s="79"/>
      <c r="H84" s="71"/>
      <c r="I84" s="79"/>
      <c r="J84" s="71"/>
      <c r="K84" s="79"/>
      <c r="L84" s="79"/>
      <c r="M84" s="79"/>
      <c r="N84" s="71"/>
      <c r="O84" s="79"/>
      <c r="P84" s="71"/>
      <c r="R84" s="71"/>
      <c r="S84" s="79"/>
      <c r="T84" s="71"/>
      <c r="V84" s="71"/>
      <c r="W84" s="79"/>
      <c r="X84" s="71"/>
      <c r="Z84" s="71"/>
      <c r="AB84" s="71" t="s">
        <v>106</v>
      </c>
      <c r="AC84" s="93" t="s">
        <v>174</v>
      </c>
      <c r="AD84" s="145"/>
      <c r="AE84" s="139"/>
      <c r="AF84" s="145"/>
      <c r="AG84" s="139"/>
      <c r="AH84" s="138"/>
      <c r="AI84" s="138"/>
      <c r="AJ84" s="138"/>
      <c r="AK84" s="138"/>
      <c r="AL84" s="138"/>
    </row>
    <row r="85" spans="2:38" ht="13.15" customHeight="1" x14ac:dyDescent="0.25">
      <c r="B85" s="71"/>
      <c r="G85" s="79"/>
      <c r="H85" s="71"/>
      <c r="I85" s="79"/>
      <c r="J85" s="71"/>
      <c r="K85" s="79"/>
      <c r="L85" s="79"/>
      <c r="M85" s="79"/>
      <c r="N85" s="71"/>
      <c r="O85" s="79"/>
      <c r="P85" s="71"/>
      <c r="R85" s="71"/>
      <c r="S85" s="79"/>
      <c r="T85" s="71"/>
      <c r="V85" s="71"/>
      <c r="W85" s="79"/>
      <c r="X85" s="71"/>
      <c r="Z85" s="71" t="s">
        <v>106</v>
      </c>
      <c r="AA85" s="79" t="s">
        <v>170</v>
      </c>
      <c r="AB85" s="71" t="s">
        <v>107</v>
      </c>
      <c r="AC85" s="93" t="s">
        <v>173</v>
      </c>
      <c r="AD85" s="138"/>
      <c r="AE85" s="139"/>
      <c r="AF85" s="138"/>
      <c r="AG85" s="139"/>
      <c r="AH85" s="138"/>
      <c r="AI85" s="138"/>
      <c r="AJ85" s="138"/>
      <c r="AK85" s="138"/>
      <c r="AL85" s="138"/>
    </row>
    <row r="86" spans="2:38" ht="13.15" customHeight="1" x14ac:dyDescent="0.25">
      <c r="B86" s="71"/>
      <c r="G86" s="79"/>
      <c r="H86" s="71"/>
      <c r="I86" s="79"/>
      <c r="J86" s="71"/>
      <c r="K86" s="79"/>
      <c r="L86" s="79"/>
      <c r="M86" s="79"/>
      <c r="N86" s="71"/>
      <c r="O86" s="79"/>
      <c r="P86" s="71"/>
      <c r="R86" s="71"/>
      <c r="S86" s="79"/>
      <c r="T86" s="71"/>
      <c r="V86" s="71"/>
      <c r="W86" s="79"/>
      <c r="X86" s="71"/>
      <c r="Z86" s="73"/>
      <c r="AA86" s="80"/>
      <c r="AB86" s="73" t="s">
        <v>108</v>
      </c>
      <c r="AC86" s="98" t="s">
        <v>172</v>
      </c>
      <c r="AD86" s="140"/>
      <c r="AE86" s="141"/>
      <c r="AF86" s="140"/>
      <c r="AG86" s="141"/>
      <c r="AH86" s="140"/>
      <c r="AI86" s="138"/>
      <c r="AJ86" s="138"/>
      <c r="AK86" s="138"/>
      <c r="AL86" s="138"/>
    </row>
    <row r="87" spans="2:38" ht="13.9" customHeight="1" x14ac:dyDescent="0.25">
      <c r="B87" s="71"/>
      <c r="G87" s="79"/>
      <c r="H87" s="71"/>
      <c r="I87" s="79"/>
      <c r="J87" s="71"/>
      <c r="K87" s="79"/>
      <c r="L87" s="79"/>
      <c r="M87" s="79"/>
      <c r="N87" s="71"/>
      <c r="O87" s="79"/>
      <c r="P87" s="71"/>
      <c r="R87" s="71"/>
      <c r="S87" s="79"/>
      <c r="T87" s="71"/>
      <c r="V87" s="71"/>
      <c r="W87" s="79"/>
      <c r="X87" s="71"/>
      <c r="Z87" s="71"/>
      <c r="AB87" s="71" t="s">
        <v>106</v>
      </c>
      <c r="AC87" s="93" t="s">
        <v>177</v>
      </c>
      <c r="AD87" s="138"/>
      <c r="AE87" s="139"/>
      <c r="AF87" s="138"/>
      <c r="AG87" s="139"/>
      <c r="AH87" s="138"/>
      <c r="AI87" s="138"/>
      <c r="AJ87" s="138"/>
      <c r="AK87" s="138"/>
      <c r="AL87" s="138"/>
    </row>
    <row r="88" spans="2:38" ht="13.9" customHeight="1" x14ac:dyDescent="0.25">
      <c r="B88" s="71"/>
      <c r="G88" s="79"/>
      <c r="H88" s="71"/>
      <c r="I88" s="79"/>
      <c r="J88" s="71"/>
      <c r="K88" s="79"/>
      <c r="L88" s="79"/>
      <c r="M88" s="79"/>
      <c r="N88" s="71"/>
      <c r="O88" s="79"/>
      <c r="P88" s="71"/>
      <c r="R88" s="71"/>
      <c r="S88" s="79"/>
      <c r="T88" s="71"/>
      <c r="V88" s="71"/>
      <c r="W88" s="79"/>
      <c r="X88" s="71" t="s">
        <v>108</v>
      </c>
      <c r="Y88" s="79" t="s">
        <v>163</v>
      </c>
      <c r="Z88" s="71" t="s">
        <v>107</v>
      </c>
      <c r="AA88" s="79" t="s">
        <v>169</v>
      </c>
      <c r="AB88" s="71" t="s">
        <v>107</v>
      </c>
      <c r="AC88" s="93" t="s">
        <v>176</v>
      </c>
      <c r="AD88" s="138"/>
      <c r="AE88" s="139"/>
      <c r="AF88" s="138"/>
      <c r="AG88" s="139"/>
      <c r="AH88" s="138"/>
      <c r="AI88" s="138"/>
      <c r="AJ88" s="138"/>
      <c r="AK88" s="138"/>
      <c r="AL88" s="138"/>
    </row>
    <row r="89" spans="2:38" ht="13.9" customHeight="1" x14ac:dyDescent="0.25">
      <c r="B89" s="71"/>
      <c r="G89" s="79"/>
      <c r="H89" s="71"/>
      <c r="I89" s="79"/>
      <c r="J89" s="71"/>
      <c r="K89" s="79"/>
      <c r="L89" s="79"/>
      <c r="M89" s="79"/>
      <c r="N89" s="71"/>
      <c r="O89" s="79"/>
      <c r="P89" s="71"/>
      <c r="R89" s="71"/>
      <c r="S89" s="79"/>
      <c r="T89" s="71"/>
      <c r="V89" s="71"/>
      <c r="W89" s="79"/>
      <c r="X89" s="71"/>
      <c r="Z89" s="73"/>
      <c r="AA89" s="80"/>
      <c r="AB89" s="73" t="s">
        <v>108</v>
      </c>
      <c r="AC89" s="98" t="s">
        <v>175</v>
      </c>
      <c r="AD89" s="140"/>
      <c r="AE89" s="141"/>
      <c r="AF89" s="140"/>
      <c r="AG89" s="141"/>
      <c r="AH89" s="140"/>
      <c r="AI89" s="138"/>
      <c r="AJ89" s="138"/>
      <c r="AK89" s="138"/>
      <c r="AL89" s="138"/>
    </row>
    <row r="90" spans="2:38" ht="13.9" customHeight="1" x14ac:dyDescent="0.25">
      <c r="B90" s="71"/>
      <c r="G90" s="79"/>
      <c r="H90" s="71"/>
      <c r="I90" s="79"/>
      <c r="J90" s="71"/>
      <c r="K90" s="79"/>
      <c r="L90" s="79"/>
      <c r="M90" s="79"/>
      <c r="N90" s="71"/>
      <c r="O90" s="79"/>
      <c r="P90" s="71"/>
      <c r="R90" s="71"/>
      <c r="S90" s="79"/>
      <c r="T90" s="71"/>
      <c r="V90" s="71"/>
      <c r="W90" s="79"/>
      <c r="X90" s="71"/>
      <c r="Z90" s="71"/>
      <c r="AB90" s="71" t="s">
        <v>106</v>
      </c>
      <c r="AC90" s="93" t="s">
        <v>180</v>
      </c>
      <c r="AD90" s="138"/>
      <c r="AE90" s="139"/>
      <c r="AF90" s="138"/>
      <c r="AG90" s="139"/>
      <c r="AH90" s="138"/>
      <c r="AI90" s="138"/>
      <c r="AJ90" s="138"/>
      <c r="AK90" s="138"/>
      <c r="AL90" s="138"/>
    </row>
    <row r="91" spans="2:38" ht="13.9" customHeight="1" x14ac:dyDescent="0.25">
      <c r="B91" s="71"/>
      <c r="G91" s="79"/>
      <c r="H91" s="71"/>
      <c r="I91" s="79"/>
      <c r="J91" s="71"/>
      <c r="K91" s="79"/>
      <c r="L91" s="79"/>
      <c r="M91" s="79"/>
      <c r="N91" s="71"/>
      <c r="O91" s="79"/>
      <c r="P91" s="71"/>
      <c r="R91" s="71"/>
      <c r="S91" s="79"/>
      <c r="T91" s="71"/>
      <c r="V91" s="71"/>
      <c r="W91" s="79"/>
      <c r="X91" s="71"/>
      <c r="Z91" s="71" t="s">
        <v>108</v>
      </c>
      <c r="AA91" s="79" t="s">
        <v>168</v>
      </c>
      <c r="AB91" s="71" t="s">
        <v>107</v>
      </c>
      <c r="AC91" s="93" t="s">
        <v>179</v>
      </c>
      <c r="AD91" s="138"/>
      <c r="AE91" s="139"/>
      <c r="AF91" s="138"/>
      <c r="AG91" s="139"/>
      <c r="AH91" s="138"/>
      <c r="AI91" s="138"/>
      <c r="AJ91" s="138"/>
      <c r="AK91" s="138"/>
      <c r="AL91" s="138"/>
    </row>
    <row r="92" spans="2:38" ht="13.9" customHeight="1" x14ac:dyDescent="0.25">
      <c r="B92" s="71"/>
      <c r="G92" s="79"/>
      <c r="H92" s="71"/>
      <c r="I92" s="79"/>
      <c r="J92" s="71"/>
      <c r="K92" s="79"/>
      <c r="L92" s="79"/>
      <c r="M92" s="79"/>
      <c r="N92" s="71"/>
      <c r="O92" s="79"/>
      <c r="P92" s="71"/>
      <c r="R92" s="71"/>
      <c r="S92" s="79"/>
      <c r="T92" s="73"/>
      <c r="U92" s="80"/>
      <c r="V92" s="73"/>
      <c r="W92" s="80"/>
      <c r="X92" s="73"/>
      <c r="Y92" s="80"/>
      <c r="Z92" s="73"/>
      <c r="AA92" s="80"/>
      <c r="AB92" s="73" t="s">
        <v>108</v>
      </c>
      <c r="AC92" s="98" t="s">
        <v>178</v>
      </c>
      <c r="AD92" s="140"/>
      <c r="AE92" s="141"/>
      <c r="AF92" s="140"/>
      <c r="AG92" s="141"/>
      <c r="AH92" s="138"/>
      <c r="AI92" s="138"/>
      <c r="AJ92" s="138"/>
      <c r="AK92" s="138"/>
      <c r="AL92" s="138"/>
    </row>
    <row r="93" spans="2:38" ht="13.9" customHeight="1" x14ac:dyDescent="0.25">
      <c r="B93" s="71"/>
      <c r="G93" s="79"/>
      <c r="H93" s="71"/>
      <c r="I93" s="79"/>
      <c r="J93" s="71"/>
      <c r="K93" s="79"/>
      <c r="L93" s="79"/>
      <c r="M93" s="79"/>
      <c r="N93" s="71"/>
      <c r="O93" s="79"/>
      <c r="P93" s="71"/>
      <c r="R93" s="71"/>
      <c r="S93" s="79"/>
      <c r="T93" s="74"/>
      <c r="U93" s="136"/>
      <c r="V93" s="71"/>
      <c r="W93" s="79"/>
      <c r="X93" s="71" t="s">
        <v>106</v>
      </c>
      <c r="Y93" s="93" t="s">
        <v>170</v>
      </c>
      <c r="Z93" s="138"/>
      <c r="AA93" s="139"/>
      <c r="AB93" s="138"/>
      <c r="AC93" s="139"/>
      <c r="AD93" s="138"/>
      <c r="AE93" s="139"/>
      <c r="AF93" s="138"/>
      <c r="AG93" s="139"/>
      <c r="AH93" s="138"/>
      <c r="AI93" s="138"/>
      <c r="AJ93" s="138"/>
      <c r="AK93" s="138"/>
      <c r="AL93" s="138"/>
    </row>
    <row r="94" spans="2:38" x14ac:dyDescent="0.25">
      <c r="B94" s="71"/>
      <c r="G94" s="79"/>
      <c r="H94" s="71"/>
      <c r="I94" s="79"/>
      <c r="J94" s="71"/>
      <c r="K94" s="79"/>
      <c r="L94" s="79"/>
      <c r="M94" s="79"/>
      <c r="N94" s="71"/>
      <c r="O94" s="79"/>
      <c r="P94" s="71"/>
      <c r="R94" s="71"/>
      <c r="S94" s="79"/>
      <c r="T94" s="71"/>
      <c r="V94" s="71" t="s">
        <v>106</v>
      </c>
      <c r="W94" s="79" t="s">
        <v>180</v>
      </c>
      <c r="X94" s="71" t="s">
        <v>107</v>
      </c>
      <c r="Y94" s="93" t="s">
        <v>169</v>
      </c>
      <c r="Z94" s="138"/>
      <c r="AA94" s="139"/>
      <c r="AB94" s="138"/>
      <c r="AC94" s="139"/>
      <c r="AD94" s="138"/>
      <c r="AE94" s="139"/>
      <c r="AF94" s="138"/>
      <c r="AG94" s="139"/>
      <c r="AH94" s="138"/>
      <c r="AI94" s="138"/>
      <c r="AJ94" s="138"/>
      <c r="AK94" s="138"/>
      <c r="AL94" s="138"/>
    </row>
    <row r="95" spans="2:38" x14ac:dyDescent="0.25">
      <c r="B95" s="71"/>
      <c r="G95" s="79"/>
      <c r="H95" s="71"/>
      <c r="I95" s="79"/>
      <c r="J95" s="71"/>
      <c r="K95" s="79"/>
      <c r="L95" s="79"/>
      <c r="M95" s="79"/>
      <c r="N95" s="71"/>
      <c r="O95" s="79"/>
      <c r="P95" s="71"/>
      <c r="R95" s="71"/>
      <c r="S95" s="79"/>
      <c r="T95" s="71"/>
      <c r="V95" s="73"/>
      <c r="W95" s="80"/>
      <c r="X95" s="73" t="s">
        <v>108</v>
      </c>
      <c r="Y95" s="98" t="s">
        <v>168</v>
      </c>
      <c r="Z95" s="138"/>
      <c r="AA95" s="139"/>
      <c r="AB95" s="138"/>
      <c r="AC95" s="139"/>
      <c r="AD95" s="138"/>
      <c r="AE95" s="139"/>
      <c r="AF95" s="138"/>
      <c r="AG95" s="139"/>
      <c r="AH95" s="138"/>
      <c r="AI95" s="138"/>
      <c r="AJ95" s="138"/>
      <c r="AK95" s="138"/>
      <c r="AL95" s="138"/>
    </row>
    <row r="96" spans="2:38" x14ac:dyDescent="0.25">
      <c r="B96" s="71"/>
      <c r="G96" s="79"/>
      <c r="H96" s="71"/>
      <c r="I96" s="79"/>
      <c r="J96" s="71"/>
      <c r="K96" s="79"/>
      <c r="L96" s="79"/>
      <c r="M96" s="79"/>
      <c r="N96" s="71"/>
      <c r="O96" s="79"/>
      <c r="P96" s="71"/>
      <c r="R96" s="71"/>
      <c r="S96" s="79"/>
      <c r="T96" s="71"/>
      <c r="V96" s="71"/>
      <c r="W96" s="79"/>
      <c r="X96" s="71" t="s">
        <v>106</v>
      </c>
      <c r="Y96" s="93" t="s">
        <v>171</v>
      </c>
      <c r="Z96" s="138"/>
      <c r="AA96" s="139"/>
      <c r="AB96" s="138"/>
      <c r="AC96" s="139"/>
      <c r="AD96" s="138"/>
      <c r="AE96" s="139"/>
      <c r="AF96" s="138"/>
      <c r="AG96" s="139"/>
      <c r="AH96" s="138"/>
      <c r="AI96" s="138"/>
      <c r="AJ96" s="138"/>
      <c r="AK96" s="138"/>
      <c r="AL96" s="138"/>
    </row>
    <row r="97" spans="2:38" x14ac:dyDescent="0.25">
      <c r="B97" s="71"/>
      <c r="G97" s="79"/>
      <c r="H97" s="71"/>
      <c r="I97" s="79"/>
      <c r="J97" s="71"/>
      <c r="K97" s="79"/>
      <c r="L97" s="79"/>
      <c r="M97" s="79"/>
      <c r="N97" s="71"/>
      <c r="O97" s="79"/>
      <c r="P97" s="71"/>
      <c r="S97"/>
      <c r="T97" t="s">
        <v>108</v>
      </c>
      <c r="U97" s="2" t="s">
        <v>168</v>
      </c>
      <c r="V97" s="71" t="s">
        <v>107</v>
      </c>
      <c r="W97" s="79" t="s">
        <v>179</v>
      </c>
      <c r="X97" s="71" t="s">
        <v>107</v>
      </c>
      <c r="Y97" s="93" t="s">
        <v>167</v>
      </c>
      <c r="Z97" s="138"/>
      <c r="AA97" s="139"/>
      <c r="AB97" s="138"/>
      <c r="AC97" s="139"/>
      <c r="AD97" s="138"/>
      <c r="AE97" s="139"/>
      <c r="AF97" s="138"/>
      <c r="AG97" s="139"/>
      <c r="AH97" s="138"/>
      <c r="AI97" s="138"/>
      <c r="AJ97" s="138"/>
      <c r="AK97" s="138"/>
      <c r="AL97" s="138"/>
    </row>
    <row r="98" spans="2:38" x14ac:dyDescent="0.25">
      <c r="B98" s="71"/>
      <c r="G98" s="79"/>
      <c r="H98" s="71"/>
      <c r="I98" s="79"/>
      <c r="J98" s="71"/>
      <c r="K98" s="79"/>
      <c r="L98" s="79"/>
      <c r="M98" s="79"/>
      <c r="N98" s="71"/>
      <c r="O98" s="79"/>
      <c r="P98" s="71"/>
      <c r="S98"/>
      <c r="U98" s="2"/>
      <c r="V98" s="73"/>
      <c r="W98" s="80"/>
      <c r="X98" s="73" t="s">
        <v>108</v>
      </c>
      <c r="Y98" s="98" t="s">
        <v>166</v>
      </c>
      <c r="Z98" s="138"/>
      <c r="AA98" s="139"/>
      <c r="AB98" s="138"/>
      <c r="AC98" s="139"/>
      <c r="AD98" s="138"/>
      <c r="AE98" s="139"/>
      <c r="AF98" s="138"/>
      <c r="AG98" s="139"/>
      <c r="AH98" s="138"/>
      <c r="AI98" s="138"/>
      <c r="AJ98" s="138"/>
      <c r="AK98" s="138"/>
      <c r="AL98" s="138"/>
    </row>
    <row r="99" spans="2:38" x14ac:dyDescent="0.25">
      <c r="B99" s="71"/>
      <c r="G99" s="79"/>
      <c r="H99" s="71"/>
      <c r="I99" s="79"/>
      <c r="J99" s="71"/>
      <c r="K99" s="79"/>
      <c r="L99" s="79"/>
      <c r="M99" s="79"/>
      <c r="N99" s="71"/>
      <c r="O99" s="79"/>
      <c r="P99" s="71"/>
      <c r="S99"/>
      <c r="U99" s="2"/>
      <c r="V99" s="71"/>
      <c r="W99" s="79"/>
      <c r="X99" s="71" t="s">
        <v>106</v>
      </c>
      <c r="Y99" s="93" t="s">
        <v>163</v>
      </c>
      <c r="Z99" s="138"/>
      <c r="AA99" s="139"/>
      <c r="AB99" s="138"/>
      <c r="AC99" s="139"/>
      <c r="AD99" s="138"/>
      <c r="AE99" s="139"/>
      <c r="AF99" s="138"/>
      <c r="AG99" s="139"/>
      <c r="AH99" s="138"/>
      <c r="AI99" s="138"/>
      <c r="AJ99" s="138"/>
      <c r="AK99" s="138"/>
      <c r="AL99" s="138"/>
    </row>
    <row r="100" spans="2:38" x14ac:dyDescent="0.25">
      <c r="B100" s="71"/>
      <c r="G100" s="79"/>
      <c r="H100" s="71"/>
      <c r="I100" s="79"/>
      <c r="J100" s="71"/>
      <c r="K100" s="79"/>
      <c r="L100" s="79"/>
      <c r="M100" s="79"/>
      <c r="N100" s="71"/>
      <c r="O100" s="79"/>
      <c r="P100" s="71"/>
      <c r="R100" s="71"/>
      <c r="S100" s="71"/>
      <c r="U100"/>
      <c r="V100" s="2" t="s">
        <v>108</v>
      </c>
      <c r="W100" s="2" t="s">
        <v>178</v>
      </c>
      <c r="X100" s="71" t="s">
        <v>107</v>
      </c>
      <c r="Y100" s="93" t="s">
        <v>164</v>
      </c>
      <c r="Z100" s="138"/>
      <c r="AA100" s="139"/>
      <c r="AB100" s="138"/>
      <c r="AC100" s="139"/>
      <c r="AD100" s="138"/>
      <c r="AE100" s="139"/>
      <c r="AF100" s="138"/>
      <c r="AG100" s="139"/>
      <c r="AH100" s="138"/>
      <c r="AI100" s="138"/>
      <c r="AJ100" s="138"/>
      <c r="AK100" s="138"/>
      <c r="AL100" s="138"/>
    </row>
    <row r="101" spans="2:38" x14ac:dyDescent="0.25">
      <c r="B101" s="71"/>
      <c r="G101" s="79"/>
      <c r="H101" s="71"/>
      <c r="I101" s="79"/>
      <c r="J101" s="71"/>
      <c r="K101" s="79"/>
      <c r="L101" s="79"/>
      <c r="M101" s="79"/>
      <c r="N101" s="71"/>
      <c r="O101" s="79"/>
      <c r="P101" s="71"/>
      <c r="R101" s="71"/>
      <c r="S101" s="71"/>
      <c r="T101" s="73"/>
      <c r="U101" s="80"/>
      <c r="V101" s="73"/>
      <c r="W101" s="80"/>
      <c r="X101" s="73" t="s">
        <v>108</v>
      </c>
      <c r="Y101" s="98" t="s">
        <v>160</v>
      </c>
      <c r="Z101" s="138"/>
      <c r="AA101" s="139"/>
      <c r="AB101" s="138"/>
      <c r="AC101" s="139"/>
      <c r="AD101" s="138"/>
      <c r="AE101" s="139"/>
      <c r="AF101" s="138"/>
      <c r="AG101" s="139"/>
      <c r="AH101" s="138"/>
      <c r="AI101" s="138"/>
      <c r="AJ101" s="138"/>
      <c r="AK101" s="138"/>
      <c r="AL101" s="138"/>
    </row>
    <row r="102" spans="2:38" x14ac:dyDescent="0.25">
      <c r="B102" s="71"/>
      <c r="G102" s="79"/>
      <c r="H102" s="71"/>
      <c r="I102" s="79"/>
      <c r="J102" s="71"/>
      <c r="K102" s="79"/>
      <c r="L102" s="79"/>
      <c r="M102" s="79"/>
      <c r="N102" s="71"/>
      <c r="O102" s="79"/>
      <c r="P102" s="71"/>
      <c r="S102" s="79"/>
      <c r="T102" s="71" t="s">
        <v>106</v>
      </c>
      <c r="U102" s="93" t="s">
        <v>171</v>
      </c>
      <c r="V102" s="138"/>
      <c r="W102" s="138"/>
      <c r="X102" s="138"/>
      <c r="Y102" s="139"/>
      <c r="Z102" s="138"/>
      <c r="AA102" s="139"/>
      <c r="AB102" s="138"/>
      <c r="AC102" s="139"/>
      <c r="AD102" s="138"/>
      <c r="AE102" s="139"/>
      <c r="AF102" s="138"/>
      <c r="AG102" s="139"/>
      <c r="AH102" s="138"/>
      <c r="AI102" s="138"/>
      <c r="AJ102" s="138"/>
      <c r="AK102" s="138"/>
      <c r="AL102" s="138"/>
    </row>
    <row r="103" spans="2:38" x14ac:dyDescent="0.25">
      <c r="B103" s="71"/>
      <c r="G103" s="79"/>
      <c r="H103" s="71"/>
      <c r="I103" s="79"/>
      <c r="J103" s="71"/>
      <c r="K103" s="79"/>
      <c r="L103" s="79"/>
      <c r="M103" s="79"/>
      <c r="N103" s="79"/>
      <c r="O103" s="79"/>
      <c r="P103" s="79" t="s">
        <v>108</v>
      </c>
      <c r="Q103" s="79" t="s">
        <v>187</v>
      </c>
      <c r="R103" s="71" t="s">
        <v>107</v>
      </c>
      <c r="S103" s="79" t="s">
        <v>202</v>
      </c>
      <c r="T103" s="71" t="s">
        <v>107</v>
      </c>
      <c r="U103" s="93" t="s">
        <v>167</v>
      </c>
      <c r="V103" s="138"/>
      <c r="W103" s="138"/>
      <c r="X103" s="138"/>
      <c r="Y103" s="139"/>
      <c r="Z103" s="138"/>
      <c r="AA103" s="139"/>
      <c r="AB103" s="138"/>
      <c r="AC103" s="139"/>
      <c r="AD103" s="138"/>
      <c r="AE103" s="139"/>
      <c r="AF103" s="138"/>
      <c r="AG103" s="139"/>
      <c r="AH103" s="138"/>
      <c r="AI103" s="138"/>
      <c r="AJ103" s="138"/>
      <c r="AK103" s="138"/>
      <c r="AL103" s="138"/>
    </row>
    <row r="104" spans="2:38" x14ac:dyDescent="0.25">
      <c r="B104" s="71"/>
      <c r="G104" s="79"/>
      <c r="H104" s="71"/>
      <c r="I104" s="79"/>
      <c r="J104" s="71"/>
      <c r="K104" s="79"/>
      <c r="L104" s="79"/>
      <c r="M104" s="79"/>
      <c r="N104" s="79"/>
      <c r="O104" s="79"/>
      <c r="P104" s="79"/>
      <c r="R104" s="73"/>
      <c r="S104" s="73"/>
      <c r="T104" s="73" t="s">
        <v>108</v>
      </c>
      <c r="U104" s="98" t="s">
        <v>166</v>
      </c>
      <c r="V104" s="138"/>
      <c r="W104" s="138"/>
      <c r="X104" s="138"/>
      <c r="Y104" s="139"/>
      <c r="Z104" s="138"/>
      <c r="AA104" s="139"/>
      <c r="AB104" s="138"/>
      <c r="AC104" s="139"/>
      <c r="AD104" s="138"/>
      <c r="AE104" s="139"/>
      <c r="AF104" s="138"/>
      <c r="AG104" s="139"/>
      <c r="AH104" s="138"/>
      <c r="AI104" s="138"/>
      <c r="AJ104" s="138"/>
      <c r="AK104" s="138"/>
      <c r="AL104" s="138"/>
    </row>
    <row r="105" spans="2:38" x14ac:dyDescent="0.25">
      <c r="B105" s="71"/>
      <c r="G105" s="79"/>
      <c r="H105" s="71"/>
      <c r="I105" s="79"/>
      <c r="J105" s="71"/>
      <c r="K105" s="79"/>
      <c r="L105" s="79"/>
      <c r="M105" s="79"/>
      <c r="N105" s="79"/>
      <c r="O105" s="79"/>
      <c r="P105" s="79"/>
      <c r="S105" s="79"/>
      <c r="T105" s="71" t="s">
        <v>106</v>
      </c>
      <c r="U105" s="93" t="s">
        <v>163</v>
      </c>
      <c r="V105" s="138"/>
      <c r="W105" s="138"/>
      <c r="X105" s="138"/>
      <c r="Y105" s="139"/>
      <c r="Z105" s="138"/>
      <c r="AA105" s="139"/>
      <c r="AB105" s="138"/>
      <c r="AC105" s="139"/>
      <c r="AD105" s="138"/>
      <c r="AE105" s="139"/>
      <c r="AF105" s="138"/>
      <c r="AG105" s="139"/>
      <c r="AH105" s="138"/>
      <c r="AI105" s="138"/>
      <c r="AJ105" s="138"/>
      <c r="AK105" s="138"/>
      <c r="AL105" s="138"/>
    </row>
    <row r="106" spans="2:38" x14ac:dyDescent="0.25">
      <c r="B106" s="71"/>
      <c r="G106" s="79"/>
      <c r="H106" s="71"/>
      <c r="I106" s="79"/>
      <c r="J106" s="71"/>
      <c r="K106" s="79"/>
      <c r="L106" s="79"/>
      <c r="M106" s="79"/>
      <c r="N106" s="79"/>
      <c r="O106" s="79"/>
      <c r="P106" s="79"/>
      <c r="R106" s="71" t="s">
        <v>108</v>
      </c>
      <c r="S106" s="79" t="s">
        <v>201</v>
      </c>
      <c r="T106" s="71" t="s">
        <v>107</v>
      </c>
      <c r="U106" s="93" t="s">
        <v>164</v>
      </c>
      <c r="V106" s="138"/>
      <c r="W106" s="138"/>
      <c r="X106" s="138"/>
      <c r="Y106" s="139"/>
      <c r="Z106" s="138"/>
      <c r="AA106" s="139"/>
      <c r="AB106" s="138"/>
      <c r="AC106" s="139"/>
      <c r="AD106" s="138"/>
      <c r="AE106" s="139"/>
      <c r="AF106" s="138"/>
      <c r="AG106" s="139"/>
      <c r="AH106" s="138"/>
      <c r="AI106" s="138"/>
      <c r="AJ106" s="138"/>
      <c r="AK106" s="138"/>
      <c r="AL106" s="138"/>
    </row>
    <row r="107" spans="2:38" x14ac:dyDescent="0.25">
      <c r="B107" s="71"/>
      <c r="G107" s="79"/>
      <c r="H107" s="71"/>
      <c r="I107" s="79"/>
      <c r="J107" s="71"/>
      <c r="K107" s="79"/>
      <c r="L107" s="79"/>
      <c r="M107" s="79"/>
      <c r="N107" s="73"/>
      <c r="O107" s="73"/>
      <c r="P107" s="73"/>
      <c r="Q107" s="80"/>
      <c r="R107" s="73"/>
      <c r="S107" s="73"/>
      <c r="T107" s="73" t="s">
        <v>108</v>
      </c>
      <c r="U107" s="98" t="s">
        <v>160</v>
      </c>
      <c r="V107" s="138"/>
      <c r="W107" s="138"/>
      <c r="X107" s="138"/>
      <c r="Y107" s="139"/>
      <c r="Z107" s="138"/>
      <c r="AA107" s="139"/>
      <c r="AB107" s="138"/>
      <c r="AC107" s="139"/>
      <c r="AD107" s="138"/>
      <c r="AE107" s="139"/>
      <c r="AF107" s="138"/>
      <c r="AG107" s="139"/>
      <c r="AH107" s="138"/>
      <c r="AI107" s="138"/>
      <c r="AJ107" s="138"/>
      <c r="AK107" s="138"/>
      <c r="AL107" s="138"/>
    </row>
    <row r="108" spans="2:38" x14ac:dyDescent="0.25">
      <c r="B108" s="71"/>
      <c r="G108" s="79"/>
      <c r="H108" s="71"/>
      <c r="I108" s="79"/>
      <c r="J108" s="71"/>
      <c r="K108" s="79"/>
      <c r="L108" s="79"/>
      <c r="M108" s="79"/>
      <c r="N108" s="71"/>
      <c r="O108" s="79"/>
      <c r="P108" s="71" t="s">
        <v>106</v>
      </c>
      <c r="Q108" s="135" t="s">
        <v>194</v>
      </c>
      <c r="R108" s="138"/>
      <c r="S108" s="139"/>
      <c r="T108" s="138"/>
      <c r="U108" s="139"/>
      <c r="V108" s="138"/>
      <c r="W108" s="138"/>
      <c r="X108" s="138"/>
      <c r="Y108" s="139"/>
      <c r="Z108" s="138"/>
      <c r="AA108" s="139"/>
      <c r="AB108" s="138"/>
      <c r="AC108" s="139"/>
      <c r="AD108" s="138"/>
      <c r="AE108" s="139"/>
      <c r="AF108" s="138"/>
      <c r="AG108" s="139"/>
      <c r="AH108" s="138"/>
      <c r="AI108" s="138"/>
      <c r="AJ108" s="138"/>
      <c r="AK108" s="138"/>
      <c r="AL108" s="138"/>
    </row>
    <row r="109" spans="2:38" x14ac:dyDescent="0.25">
      <c r="B109" s="71"/>
      <c r="G109" s="79"/>
      <c r="H109" s="71"/>
      <c r="I109" s="71"/>
      <c r="J109" s="79"/>
      <c r="K109" s="79"/>
      <c r="L109" s="71" t="s">
        <v>106</v>
      </c>
      <c r="M109" s="79" t="s">
        <v>171</v>
      </c>
      <c r="N109" s="71" t="s">
        <v>107</v>
      </c>
      <c r="O109" s="79" t="s">
        <v>181</v>
      </c>
      <c r="P109" s="73" t="s">
        <v>107</v>
      </c>
      <c r="Q109" s="137" t="s">
        <v>195</v>
      </c>
      <c r="R109" s="140"/>
      <c r="S109" s="141"/>
      <c r="T109" s="140"/>
      <c r="U109" s="141"/>
      <c r="V109" s="138"/>
      <c r="W109" s="138"/>
      <c r="X109" s="138"/>
      <c r="Y109" s="139"/>
      <c r="Z109" s="138"/>
      <c r="AA109" s="139"/>
      <c r="AB109" s="138"/>
      <c r="AC109" s="139"/>
      <c r="AD109" s="138"/>
      <c r="AE109" s="139"/>
      <c r="AF109" s="138"/>
      <c r="AG109" s="139"/>
      <c r="AH109" s="138"/>
      <c r="AI109" s="138"/>
      <c r="AJ109" s="138"/>
      <c r="AK109" s="138"/>
      <c r="AL109" s="138"/>
    </row>
    <row r="110" spans="2:38" x14ac:dyDescent="0.25">
      <c r="B110" s="71"/>
      <c r="G110" s="79"/>
      <c r="H110" s="71"/>
      <c r="I110" s="71"/>
      <c r="J110" s="79"/>
      <c r="K110" s="79"/>
      <c r="L110" s="71"/>
      <c r="M110" s="79"/>
      <c r="N110" s="71"/>
      <c r="O110" s="79"/>
      <c r="P110" s="71"/>
      <c r="Q110"/>
      <c r="S110" s="79"/>
      <c r="T110" s="71" t="s">
        <v>106</v>
      </c>
      <c r="U110" s="93" t="s">
        <v>189</v>
      </c>
      <c r="V110" s="138"/>
      <c r="W110" s="138"/>
      <c r="X110" s="138"/>
      <c r="Y110" s="139"/>
      <c r="Z110" s="138"/>
      <c r="AA110" s="139"/>
      <c r="AB110" s="138"/>
      <c r="AC110" s="139"/>
      <c r="AD110" s="138"/>
      <c r="AE110" s="139"/>
      <c r="AF110" s="138"/>
      <c r="AG110" s="139"/>
      <c r="AH110" s="138"/>
      <c r="AI110" s="138"/>
      <c r="AJ110" s="138"/>
      <c r="AK110" s="138"/>
      <c r="AL110" s="138"/>
    </row>
    <row r="111" spans="2:38" x14ac:dyDescent="0.25">
      <c r="B111" s="71"/>
      <c r="G111" s="79"/>
      <c r="H111" s="71"/>
      <c r="I111" s="71"/>
      <c r="J111" s="79"/>
      <c r="K111" s="79"/>
      <c r="L111" s="71"/>
      <c r="M111" s="79"/>
      <c r="N111" s="71"/>
      <c r="O111" s="79"/>
      <c r="P111" s="71"/>
      <c r="Q111"/>
      <c r="R111" s="71" t="s">
        <v>106</v>
      </c>
      <c r="S111" s="79" t="s">
        <v>199</v>
      </c>
      <c r="T111" s="71" t="s">
        <v>107</v>
      </c>
      <c r="U111" s="93" t="s">
        <v>200</v>
      </c>
      <c r="V111" s="138"/>
      <c r="W111" s="138"/>
      <c r="X111" s="138"/>
      <c r="Y111" s="139"/>
      <c r="Z111" s="138"/>
      <c r="AA111" s="139"/>
      <c r="AB111" s="138"/>
      <c r="AC111" s="139"/>
      <c r="AD111" s="138"/>
      <c r="AE111" s="139"/>
      <c r="AF111" s="138"/>
      <c r="AG111" s="139"/>
      <c r="AH111" s="138"/>
      <c r="AI111" s="138"/>
      <c r="AJ111" s="138"/>
      <c r="AK111" s="138"/>
      <c r="AL111" s="138"/>
    </row>
    <row r="112" spans="2:38" x14ac:dyDescent="0.25">
      <c r="B112" s="71"/>
      <c r="G112" s="79"/>
      <c r="H112" s="71"/>
      <c r="I112" s="71"/>
      <c r="J112" s="79"/>
      <c r="K112" s="79"/>
      <c r="L112" s="71"/>
      <c r="M112" s="79"/>
      <c r="N112" s="71"/>
      <c r="O112" s="79"/>
      <c r="P112" s="71"/>
      <c r="Q112"/>
      <c r="R112" s="73"/>
      <c r="S112" s="73"/>
      <c r="T112" s="73" t="s">
        <v>108</v>
      </c>
      <c r="U112" s="98" t="s">
        <v>191</v>
      </c>
      <c r="V112" s="138"/>
      <c r="W112" s="138"/>
      <c r="X112" s="138"/>
      <c r="Y112" s="139"/>
      <c r="Z112" s="138"/>
      <c r="AA112" s="139"/>
      <c r="AB112" s="138"/>
      <c r="AC112" s="139"/>
      <c r="AD112" s="138"/>
      <c r="AE112" s="139"/>
      <c r="AF112" s="138"/>
      <c r="AG112" s="139"/>
      <c r="AH112" s="138"/>
      <c r="AI112" s="138"/>
      <c r="AJ112" s="138"/>
      <c r="AK112" s="138"/>
      <c r="AL112" s="138"/>
    </row>
    <row r="113" spans="2:38" x14ac:dyDescent="0.25">
      <c r="B113" s="71"/>
      <c r="G113" s="79"/>
      <c r="H113" s="71"/>
      <c r="I113" s="71"/>
      <c r="J113" s="79"/>
      <c r="K113" s="79"/>
      <c r="L113" s="71"/>
      <c r="M113" s="79"/>
      <c r="N113" s="71"/>
      <c r="O113" s="79"/>
      <c r="P113" s="71"/>
      <c r="Q113"/>
      <c r="R113" s="71"/>
      <c r="S113" s="79"/>
      <c r="T113" s="71" t="s">
        <v>106</v>
      </c>
      <c r="U113" s="93" t="s">
        <v>190</v>
      </c>
      <c r="V113" s="138"/>
      <c r="W113" s="138"/>
      <c r="X113" s="138"/>
      <c r="Y113" s="139"/>
      <c r="Z113" s="138"/>
      <c r="AA113" s="139"/>
      <c r="AB113" s="138"/>
      <c r="AC113" s="139"/>
      <c r="AD113" s="138"/>
      <c r="AE113" s="139"/>
      <c r="AF113" s="138"/>
      <c r="AG113" s="139"/>
      <c r="AH113" s="138"/>
      <c r="AI113" s="138"/>
      <c r="AJ113" s="138"/>
      <c r="AK113" s="138"/>
      <c r="AL113" s="138"/>
    </row>
    <row r="114" spans="2:38" x14ac:dyDescent="0.25">
      <c r="B114" s="71"/>
      <c r="G114" s="79"/>
      <c r="H114" s="71"/>
      <c r="I114" s="71"/>
      <c r="J114" s="79"/>
      <c r="K114" s="79"/>
      <c r="L114" s="71"/>
      <c r="M114" s="79"/>
      <c r="N114" s="79"/>
      <c r="O114" s="79"/>
      <c r="P114" s="79" t="s">
        <v>108</v>
      </c>
      <c r="Q114" s="79" t="s">
        <v>188</v>
      </c>
      <c r="R114" s="71" t="s">
        <v>107</v>
      </c>
      <c r="S114" s="79" t="s">
        <v>198</v>
      </c>
      <c r="T114" s="71" t="s">
        <v>107</v>
      </c>
      <c r="U114" s="93" t="s">
        <v>193</v>
      </c>
      <c r="V114" s="138"/>
      <c r="W114" s="138"/>
      <c r="X114" s="138"/>
      <c r="Y114" s="139"/>
      <c r="Z114" s="138"/>
      <c r="AA114" s="139"/>
      <c r="AB114" s="138"/>
      <c r="AC114" s="139"/>
      <c r="AD114" s="138"/>
      <c r="AE114" s="139"/>
      <c r="AF114" s="138"/>
      <c r="AG114" s="139"/>
      <c r="AH114" s="138"/>
      <c r="AI114" s="138"/>
      <c r="AJ114" s="138"/>
      <c r="AK114" s="138"/>
      <c r="AL114" s="138"/>
    </row>
    <row r="115" spans="2:38" x14ac:dyDescent="0.25">
      <c r="B115" s="71"/>
      <c r="G115" s="79"/>
      <c r="H115" s="71"/>
      <c r="I115" s="71"/>
      <c r="J115" s="79"/>
      <c r="K115" s="79"/>
      <c r="L115" s="71"/>
      <c r="M115" s="79"/>
      <c r="N115" s="79"/>
      <c r="O115" s="79"/>
      <c r="P115" s="79"/>
      <c r="R115" s="73"/>
      <c r="S115" s="73"/>
      <c r="T115" s="73" t="s">
        <v>108</v>
      </c>
      <c r="U115" s="98" t="s">
        <v>192</v>
      </c>
      <c r="V115" s="138"/>
      <c r="W115" s="138"/>
      <c r="X115" s="138"/>
      <c r="Y115" s="139"/>
      <c r="Z115" s="138"/>
      <c r="AA115" s="139"/>
      <c r="AB115" s="138"/>
      <c r="AC115" s="139"/>
      <c r="AD115" s="138"/>
      <c r="AE115" s="139"/>
      <c r="AF115" s="138"/>
      <c r="AG115" s="139"/>
      <c r="AH115" s="138"/>
      <c r="AI115" s="138"/>
      <c r="AJ115" s="138"/>
      <c r="AK115" s="138"/>
      <c r="AL115" s="138"/>
    </row>
    <row r="116" spans="2:38" x14ac:dyDescent="0.25">
      <c r="B116" s="71"/>
      <c r="G116" s="79"/>
      <c r="H116" s="71"/>
      <c r="I116" s="71"/>
      <c r="J116" s="79"/>
      <c r="K116" s="79"/>
      <c r="L116" s="71"/>
      <c r="M116" s="79"/>
      <c r="N116" s="73"/>
      <c r="O116" s="73"/>
      <c r="P116" s="73"/>
      <c r="Q116" s="73"/>
      <c r="R116" s="73" t="s">
        <v>108</v>
      </c>
      <c r="S116" s="98" t="s">
        <v>180</v>
      </c>
      <c r="T116" s="138"/>
      <c r="U116" s="139"/>
      <c r="V116" s="138"/>
      <c r="W116" s="138"/>
      <c r="X116" s="138"/>
      <c r="Y116" s="139"/>
      <c r="Z116" s="138"/>
      <c r="AA116" s="139"/>
      <c r="AB116" s="138"/>
      <c r="AC116" s="139"/>
      <c r="AD116" s="138"/>
      <c r="AE116" s="139"/>
      <c r="AF116" s="138"/>
      <c r="AG116" s="139"/>
      <c r="AH116" s="138"/>
      <c r="AI116" s="138"/>
      <c r="AJ116" s="138"/>
      <c r="AK116" s="138"/>
      <c r="AL116" s="138"/>
    </row>
    <row r="117" spans="2:38" x14ac:dyDescent="0.25">
      <c r="B117" s="71"/>
      <c r="G117" s="79"/>
      <c r="H117" s="71"/>
      <c r="I117" s="71"/>
      <c r="J117" s="79"/>
      <c r="K117" s="79"/>
      <c r="L117"/>
      <c r="M117"/>
      <c r="N117" s="72" t="s">
        <v>108</v>
      </c>
      <c r="O117" s="98" t="s">
        <v>170</v>
      </c>
      <c r="P117" s="142"/>
      <c r="Q117" s="141"/>
      <c r="R117" s="140"/>
      <c r="S117" s="141"/>
      <c r="T117" s="140"/>
      <c r="U117" s="141"/>
      <c r="V117" s="138"/>
      <c r="W117" s="138"/>
      <c r="X117" s="138"/>
      <c r="Y117" s="139"/>
      <c r="Z117" s="138"/>
      <c r="AA117" s="139"/>
      <c r="AB117" s="138"/>
      <c r="AC117" s="139"/>
      <c r="AD117" s="138"/>
      <c r="AE117" s="139"/>
      <c r="AF117" s="138"/>
      <c r="AG117" s="139"/>
      <c r="AH117" s="138"/>
      <c r="AI117" s="138"/>
      <c r="AJ117" s="138"/>
      <c r="AK117" s="138"/>
      <c r="AL117" s="138"/>
    </row>
    <row r="118" spans="2:38" x14ac:dyDescent="0.25">
      <c r="B118" s="71"/>
      <c r="G118" s="79"/>
      <c r="H118" s="71"/>
      <c r="I118" s="71"/>
      <c r="J118" s="79"/>
      <c r="K118" s="79"/>
      <c r="L118" s="71"/>
      <c r="M118" s="79"/>
      <c r="N118" s="71" t="s">
        <v>106</v>
      </c>
      <c r="O118" s="93" t="s">
        <v>184</v>
      </c>
      <c r="P118" s="145"/>
      <c r="Q118" s="139"/>
      <c r="R118" s="138"/>
      <c r="S118" s="139"/>
      <c r="T118" s="138"/>
      <c r="U118" s="139"/>
      <c r="V118" s="138"/>
      <c r="W118" s="138"/>
      <c r="X118" s="138"/>
      <c r="Y118" s="139"/>
      <c r="Z118" s="138"/>
      <c r="AA118" s="139"/>
      <c r="AB118" s="138"/>
      <c r="AC118" s="139"/>
      <c r="AD118" s="138"/>
      <c r="AE118" s="139"/>
      <c r="AF118" s="138"/>
      <c r="AG118" s="139"/>
      <c r="AH118" s="138"/>
      <c r="AI118" s="138"/>
      <c r="AJ118" s="138"/>
      <c r="AK118" s="138"/>
      <c r="AL118" s="138"/>
    </row>
    <row r="119" spans="2:38" x14ac:dyDescent="0.25">
      <c r="B119" s="71"/>
      <c r="G119" s="79"/>
      <c r="H119" s="71"/>
      <c r="I119" s="71"/>
      <c r="J119" s="79" t="s">
        <v>106</v>
      </c>
      <c r="K119" s="79" t="s">
        <v>179</v>
      </c>
      <c r="L119" s="71" t="s">
        <v>107</v>
      </c>
      <c r="M119" s="79" t="s">
        <v>167</v>
      </c>
      <c r="N119" s="71" t="s">
        <v>107</v>
      </c>
      <c r="O119" s="93" t="s">
        <v>183</v>
      </c>
      <c r="P119" s="145"/>
      <c r="Q119" s="139"/>
      <c r="R119" s="138"/>
      <c r="S119" s="139"/>
      <c r="T119" s="138"/>
      <c r="U119" s="139"/>
      <c r="V119" s="138"/>
      <c r="W119" s="138"/>
      <c r="X119" s="138"/>
      <c r="Y119" s="139"/>
      <c r="Z119" s="138"/>
      <c r="AA119" s="139"/>
      <c r="AB119" s="138"/>
      <c r="AC119" s="139"/>
      <c r="AD119" s="138"/>
      <c r="AE119" s="139"/>
      <c r="AF119" s="138"/>
      <c r="AG119" s="139"/>
      <c r="AH119" s="138"/>
      <c r="AI119" s="138"/>
      <c r="AJ119" s="138"/>
      <c r="AK119" s="138"/>
      <c r="AL119" s="138"/>
    </row>
    <row r="120" spans="2:38" x14ac:dyDescent="0.25">
      <c r="B120" s="71"/>
      <c r="G120" s="79"/>
      <c r="H120" s="71"/>
      <c r="I120" s="71"/>
      <c r="J120" s="79"/>
      <c r="K120" s="79"/>
      <c r="L120" s="73"/>
      <c r="M120" s="73"/>
      <c r="N120" s="73" t="s">
        <v>108</v>
      </c>
      <c r="O120" s="98" t="s">
        <v>171</v>
      </c>
      <c r="P120" s="142"/>
      <c r="Q120" s="139"/>
      <c r="R120" s="138"/>
      <c r="S120" s="139"/>
      <c r="T120" s="138"/>
      <c r="U120" s="139"/>
      <c r="V120" s="138"/>
      <c r="W120" s="138"/>
      <c r="X120" s="138"/>
      <c r="Y120" s="139"/>
      <c r="Z120" s="138"/>
      <c r="AA120" s="139"/>
      <c r="AB120" s="138"/>
      <c r="AC120" s="139"/>
      <c r="AD120" s="138"/>
      <c r="AE120" s="139"/>
      <c r="AF120" s="138"/>
      <c r="AG120" s="139"/>
      <c r="AH120" s="138"/>
      <c r="AI120" s="138"/>
      <c r="AJ120" s="138"/>
      <c r="AK120" s="138"/>
      <c r="AL120" s="138"/>
    </row>
    <row r="121" spans="2:38" x14ac:dyDescent="0.25">
      <c r="B121" s="71"/>
      <c r="G121" s="79"/>
      <c r="H121" s="71"/>
      <c r="I121" s="71"/>
      <c r="J121" s="79"/>
      <c r="K121" s="79"/>
      <c r="L121" s="71"/>
      <c r="M121" s="79"/>
      <c r="N121" s="71" t="s">
        <v>106</v>
      </c>
      <c r="O121" s="93" t="s">
        <v>186</v>
      </c>
      <c r="P121" s="138"/>
      <c r="Q121" s="139"/>
      <c r="R121" s="138"/>
      <c r="S121" s="139"/>
      <c r="T121" s="138"/>
      <c r="U121" s="139"/>
      <c r="V121" s="138"/>
      <c r="W121" s="138"/>
      <c r="X121" s="138"/>
      <c r="Y121" s="139"/>
      <c r="Z121" s="138"/>
      <c r="AA121" s="139"/>
      <c r="AB121" s="138"/>
      <c r="AC121" s="139"/>
      <c r="AD121" s="138"/>
      <c r="AE121" s="139"/>
      <c r="AF121" s="138"/>
      <c r="AG121" s="139"/>
      <c r="AH121" s="138"/>
      <c r="AI121" s="138"/>
      <c r="AJ121" s="138"/>
      <c r="AK121" s="138"/>
      <c r="AL121" s="138"/>
    </row>
    <row r="122" spans="2:38" x14ac:dyDescent="0.25">
      <c r="B122" s="71"/>
      <c r="G122" s="79"/>
      <c r="H122" s="71"/>
      <c r="I122"/>
      <c r="K122"/>
      <c r="L122" t="s">
        <v>108</v>
      </c>
      <c r="M122" s="2" t="s">
        <v>166</v>
      </c>
      <c r="N122" s="71" t="s">
        <v>107</v>
      </c>
      <c r="O122" s="93" t="s">
        <v>185</v>
      </c>
      <c r="P122" s="138"/>
      <c r="Q122" s="139"/>
      <c r="R122" s="138"/>
      <c r="S122" s="139"/>
      <c r="T122" s="138"/>
      <c r="U122" s="139"/>
      <c r="V122" s="138"/>
      <c r="W122" s="138"/>
      <c r="X122" s="138"/>
      <c r="Y122" s="139"/>
      <c r="Z122" s="138"/>
      <c r="AA122" s="139"/>
      <c r="AB122" s="138"/>
      <c r="AC122" s="139"/>
      <c r="AD122" s="138"/>
      <c r="AE122" s="139"/>
      <c r="AF122" s="138"/>
      <c r="AG122" s="139"/>
      <c r="AH122" s="138"/>
      <c r="AI122" s="138"/>
      <c r="AJ122" s="138"/>
      <c r="AK122" s="138"/>
      <c r="AL122" s="138"/>
    </row>
    <row r="123" spans="2:38" x14ac:dyDescent="0.25">
      <c r="B123" s="71"/>
      <c r="G123" s="79"/>
      <c r="H123" s="71"/>
      <c r="I123" s="73"/>
      <c r="J123" s="73"/>
      <c r="K123" s="73"/>
      <c r="L123" s="73"/>
      <c r="M123" s="73"/>
      <c r="N123" s="73" t="s">
        <v>108</v>
      </c>
      <c r="O123" s="98" t="s">
        <v>163</v>
      </c>
      <c r="P123" s="138"/>
      <c r="Q123" s="139"/>
      <c r="R123" s="138"/>
      <c r="S123" s="139"/>
      <c r="T123" s="138"/>
      <c r="U123" s="139"/>
      <c r="V123" s="138"/>
      <c r="W123" s="138"/>
      <c r="X123" s="138"/>
      <c r="Y123" s="139"/>
      <c r="Z123" s="138"/>
      <c r="AA123" s="139"/>
      <c r="AB123" s="138"/>
      <c r="AC123" s="139"/>
      <c r="AD123" s="138"/>
      <c r="AE123" s="139"/>
      <c r="AF123" s="138"/>
      <c r="AG123" s="139"/>
      <c r="AH123" s="138"/>
      <c r="AI123" s="138"/>
      <c r="AJ123" s="138"/>
      <c r="AK123" s="138"/>
      <c r="AL123" s="138"/>
    </row>
    <row r="124" spans="2:38" x14ac:dyDescent="0.25">
      <c r="B124" s="71"/>
      <c r="G124" s="79"/>
      <c r="H124" s="71"/>
      <c r="I124" s="71"/>
      <c r="J124" s="79"/>
      <c r="K124" s="79"/>
      <c r="L124" s="71" t="s">
        <v>106</v>
      </c>
      <c r="M124" s="93" t="s">
        <v>170</v>
      </c>
      <c r="N124" s="139"/>
      <c r="O124" s="139"/>
      <c r="P124" s="138"/>
      <c r="Q124" s="139"/>
      <c r="R124" s="138"/>
      <c r="S124" s="139"/>
      <c r="T124" s="138"/>
      <c r="U124" s="139"/>
      <c r="V124" s="138"/>
      <c r="W124" s="138"/>
      <c r="X124" s="138"/>
      <c r="Y124" s="139"/>
      <c r="Z124" s="138"/>
      <c r="AA124" s="139"/>
      <c r="AB124" s="138"/>
      <c r="AC124" s="139"/>
      <c r="AD124" s="138"/>
      <c r="AE124" s="139"/>
      <c r="AF124" s="138"/>
      <c r="AG124" s="139"/>
      <c r="AH124" s="138"/>
      <c r="AI124" s="138"/>
      <c r="AJ124" s="138"/>
      <c r="AK124" s="138"/>
      <c r="AL124" s="138"/>
    </row>
    <row r="125" spans="2:38" x14ac:dyDescent="0.25">
      <c r="B125" s="71"/>
      <c r="G125" s="79"/>
      <c r="H125" s="71" t="s">
        <v>108</v>
      </c>
      <c r="I125" s="79" t="s">
        <v>172</v>
      </c>
      <c r="J125" s="79" t="s">
        <v>107</v>
      </c>
      <c r="K125" s="79" t="s">
        <v>180</v>
      </c>
      <c r="L125" s="71" t="s">
        <v>107</v>
      </c>
      <c r="M125" s="93" t="s">
        <v>169</v>
      </c>
      <c r="N125" s="139"/>
      <c r="O125" s="139"/>
      <c r="P125" s="138"/>
      <c r="Q125" s="139"/>
      <c r="R125" s="138"/>
      <c r="S125" s="143"/>
      <c r="T125" s="138"/>
      <c r="U125" s="139"/>
      <c r="V125" s="138"/>
      <c r="W125" s="138"/>
      <c r="X125" s="138"/>
      <c r="Y125" s="139"/>
      <c r="Z125" s="138"/>
      <c r="AA125" s="139"/>
      <c r="AB125" s="138"/>
      <c r="AC125" s="139"/>
      <c r="AD125" s="138"/>
      <c r="AE125" s="139"/>
      <c r="AF125" s="138"/>
      <c r="AG125" s="139"/>
      <c r="AH125" s="138"/>
      <c r="AI125" s="138"/>
      <c r="AJ125" s="138"/>
      <c r="AK125" s="138"/>
      <c r="AL125" s="138"/>
    </row>
    <row r="126" spans="2:38" x14ac:dyDescent="0.25">
      <c r="B126" s="71"/>
      <c r="G126" s="79"/>
      <c r="H126" s="71"/>
      <c r="I126" s="73"/>
      <c r="J126" s="73"/>
      <c r="K126" s="80"/>
      <c r="L126" s="73" t="s">
        <v>108</v>
      </c>
      <c r="M126" s="98" t="s">
        <v>168</v>
      </c>
      <c r="N126" s="142"/>
      <c r="O126" s="141"/>
      <c r="P126" s="138"/>
      <c r="Q126" s="139"/>
      <c r="R126" s="138"/>
      <c r="S126" s="143"/>
      <c r="T126" s="138"/>
      <c r="U126" s="139"/>
      <c r="V126" s="138"/>
      <c r="W126" s="138"/>
      <c r="X126" s="138"/>
      <c r="Y126" s="139"/>
      <c r="Z126" s="138"/>
      <c r="AA126" s="139"/>
      <c r="AB126" s="138"/>
      <c r="AC126" s="139"/>
      <c r="AD126" s="138"/>
      <c r="AE126" s="139"/>
      <c r="AF126" s="138"/>
      <c r="AG126" s="139"/>
      <c r="AH126" s="138"/>
      <c r="AI126" s="138"/>
      <c r="AJ126" s="138"/>
      <c r="AK126" s="138"/>
      <c r="AL126" s="138"/>
    </row>
    <row r="127" spans="2:38" x14ac:dyDescent="0.25">
      <c r="B127" s="71"/>
      <c r="G127" s="79"/>
      <c r="H127" s="71"/>
      <c r="I127" s="71"/>
      <c r="J127" s="79"/>
      <c r="K127" s="79"/>
      <c r="L127" s="71" t="s">
        <v>106</v>
      </c>
      <c r="M127" s="93" t="s">
        <v>163</v>
      </c>
      <c r="N127" s="139"/>
      <c r="O127" s="143"/>
      <c r="P127" s="138"/>
      <c r="Q127" s="139"/>
      <c r="R127" s="138"/>
      <c r="S127" s="143"/>
      <c r="T127" s="138"/>
      <c r="U127" s="139"/>
      <c r="V127" s="138"/>
      <c r="W127" s="138"/>
      <c r="X127" s="138"/>
      <c r="Y127" s="139"/>
      <c r="Z127" s="138"/>
      <c r="AA127" s="139"/>
      <c r="AB127" s="138"/>
      <c r="AC127" s="139"/>
      <c r="AD127" s="138"/>
      <c r="AE127" s="139"/>
      <c r="AF127" s="138"/>
      <c r="AG127" s="139"/>
      <c r="AH127" s="138"/>
      <c r="AI127" s="138"/>
      <c r="AJ127" s="138"/>
      <c r="AK127" s="138"/>
      <c r="AL127" s="138"/>
    </row>
    <row r="128" spans="2:38" x14ac:dyDescent="0.25">
      <c r="B128" s="71"/>
      <c r="G128" s="71"/>
      <c r="H128" s="71"/>
      <c r="I128" s="71"/>
      <c r="J128" s="79" t="s">
        <v>108</v>
      </c>
      <c r="K128" s="93" t="s">
        <v>178</v>
      </c>
      <c r="L128" s="71" t="s">
        <v>107</v>
      </c>
      <c r="M128" s="93" t="s">
        <v>164</v>
      </c>
      <c r="N128" s="139"/>
      <c r="O128" s="143"/>
      <c r="P128" s="138"/>
      <c r="Q128" s="139"/>
      <c r="R128" s="138"/>
      <c r="S128" s="143"/>
      <c r="T128" s="138"/>
      <c r="U128" s="139"/>
      <c r="V128" s="138"/>
      <c r="W128" s="138"/>
      <c r="X128" s="138"/>
      <c r="Y128" s="139"/>
      <c r="Z128" s="138"/>
      <c r="AA128" s="139"/>
      <c r="AB128" s="138"/>
      <c r="AC128" s="139"/>
      <c r="AD128" s="138"/>
      <c r="AE128" s="139"/>
      <c r="AF128" s="138"/>
      <c r="AG128" s="139"/>
      <c r="AH128" s="138"/>
      <c r="AI128" s="138"/>
      <c r="AJ128" s="138"/>
      <c r="AK128" s="138"/>
      <c r="AL128" s="138"/>
    </row>
    <row r="129" spans="2:38" x14ac:dyDescent="0.25">
      <c r="B129" s="71"/>
      <c r="G129" s="71"/>
      <c r="H129" s="73"/>
      <c r="I129" s="73"/>
      <c r="J129" s="80"/>
      <c r="K129" s="80"/>
      <c r="L129" s="73" t="s">
        <v>108</v>
      </c>
      <c r="M129" s="98" t="s">
        <v>160</v>
      </c>
      <c r="N129" s="141"/>
      <c r="O129" s="143"/>
      <c r="P129" s="138"/>
      <c r="Q129" s="139"/>
      <c r="R129" s="138"/>
      <c r="S129" s="143"/>
      <c r="T129" s="138"/>
      <c r="U129" s="139"/>
      <c r="V129" s="138"/>
      <c r="W129" s="138"/>
      <c r="X129" s="138"/>
      <c r="Y129" s="139"/>
      <c r="Z129" s="138"/>
      <c r="AA129" s="139"/>
      <c r="AB129" s="138"/>
      <c r="AC129" s="139"/>
      <c r="AD129" s="138"/>
      <c r="AE129" s="139"/>
      <c r="AF129" s="138"/>
      <c r="AG129" s="139"/>
      <c r="AH129" s="138"/>
      <c r="AI129" s="138"/>
      <c r="AJ129" s="138"/>
      <c r="AK129" s="138"/>
      <c r="AL129" s="138"/>
    </row>
    <row r="130" spans="2:38" x14ac:dyDescent="0.25">
      <c r="B130" s="71"/>
      <c r="G130" s="71"/>
      <c r="H130" s="71"/>
      <c r="I130" s="79"/>
      <c r="J130" s="71" t="s">
        <v>106</v>
      </c>
      <c r="K130" s="93" t="s">
        <v>182</v>
      </c>
      <c r="L130" s="139"/>
      <c r="M130" s="139"/>
      <c r="N130" s="139"/>
      <c r="O130" s="143"/>
      <c r="P130" s="138"/>
      <c r="Q130" s="139"/>
      <c r="R130" s="138"/>
      <c r="S130" s="143"/>
      <c r="T130" s="138"/>
      <c r="U130" s="139"/>
      <c r="V130" s="138"/>
      <c r="W130" s="138"/>
      <c r="X130" s="138"/>
      <c r="Y130" s="139"/>
      <c r="Z130" s="138"/>
      <c r="AA130" s="139"/>
      <c r="AB130" s="138"/>
      <c r="AC130" s="139"/>
      <c r="AD130" s="138"/>
      <c r="AE130" s="139"/>
      <c r="AF130" s="138"/>
      <c r="AG130" s="139"/>
      <c r="AH130" s="138"/>
      <c r="AI130" s="138"/>
      <c r="AJ130" s="138"/>
      <c r="AK130" s="138"/>
      <c r="AL130" s="138"/>
    </row>
    <row r="131" spans="2:38" x14ac:dyDescent="0.25">
      <c r="E131"/>
      <c r="F131" s="71"/>
      <c r="G131" s="79"/>
      <c r="H131" s="71" t="s">
        <v>106</v>
      </c>
      <c r="I131" s="79" t="s">
        <v>177</v>
      </c>
      <c r="J131" s="71" t="s">
        <v>107</v>
      </c>
      <c r="K131" s="93" t="s">
        <v>181</v>
      </c>
      <c r="L131" s="139"/>
      <c r="M131" s="139"/>
      <c r="N131" s="143"/>
      <c r="O131" s="143"/>
      <c r="P131" s="138"/>
      <c r="Q131" s="139"/>
      <c r="R131" s="138"/>
      <c r="S131" s="143"/>
      <c r="T131" s="138"/>
      <c r="U131" s="139"/>
      <c r="V131" s="138"/>
      <c r="W131" s="138"/>
      <c r="X131" s="138"/>
      <c r="Y131" s="139"/>
      <c r="Z131" s="138"/>
      <c r="AA131" s="139"/>
      <c r="AB131" s="138"/>
      <c r="AC131" s="139"/>
      <c r="AD131" s="138"/>
      <c r="AE131" s="139"/>
      <c r="AF131" s="138"/>
      <c r="AG131" s="139"/>
      <c r="AH131" s="138"/>
      <c r="AI131" s="138"/>
      <c r="AJ131" s="138"/>
      <c r="AK131" s="138"/>
      <c r="AL131" s="138"/>
    </row>
    <row r="132" spans="2:38" x14ac:dyDescent="0.25">
      <c r="E132"/>
      <c r="F132" s="71"/>
      <c r="G132" s="79"/>
      <c r="H132" s="73"/>
      <c r="I132" s="73"/>
      <c r="J132" s="73" t="s">
        <v>108</v>
      </c>
      <c r="K132" s="98" t="s">
        <v>170</v>
      </c>
      <c r="L132" s="142"/>
      <c r="M132" s="141"/>
      <c r="N132" s="142"/>
      <c r="O132" s="143"/>
      <c r="P132" s="138"/>
      <c r="Q132" s="139"/>
      <c r="R132" s="138"/>
      <c r="S132" s="143"/>
      <c r="T132" s="138"/>
      <c r="U132" s="139"/>
      <c r="V132" s="138"/>
      <c r="W132" s="138"/>
      <c r="X132" s="138"/>
      <c r="Y132" s="139"/>
      <c r="Z132" s="138"/>
      <c r="AA132" s="139"/>
      <c r="AB132" s="138"/>
      <c r="AC132" s="139"/>
      <c r="AD132" s="138"/>
      <c r="AE132" s="139"/>
      <c r="AF132" s="138"/>
      <c r="AG132" s="139"/>
      <c r="AH132" s="138"/>
      <c r="AI132" s="138"/>
      <c r="AJ132" s="138"/>
      <c r="AK132" s="138"/>
      <c r="AL132" s="138"/>
    </row>
    <row r="133" spans="2:38" x14ac:dyDescent="0.25">
      <c r="E133"/>
      <c r="F133" s="71"/>
      <c r="G133" s="79"/>
      <c r="H133" s="71"/>
      <c r="I133" s="79"/>
      <c r="J133" s="71" t="s">
        <v>106</v>
      </c>
      <c r="K133" s="93" t="s">
        <v>184</v>
      </c>
      <c r="L133" s="139"/>
      <c r="M133" s="139"/>
      <c r="N133" s="143"/>
      <c r="O133" s="143"/>
      <c r="P133" s="138"/>
      <c r="Q133" s="139"/>
      <c r="R133" s="138"/>
      <c r="S133" s="143"/>
      <c r="T133" s="138"/>
      <c r="U133" s="139"/>
      <c r="V133" s="138"/>
      <c r="W133" s="138"/>
      <c r="X133" s="138"/>
      <c r="Y133" s="139"/>
      <c r="Z133" s="138"/>
      <c r="AA133" s="139"/>
      <c r="AB133" s="138"/>
      <c r="AC133" s="139"/>
      <c r="AD133" s="138"/>
      <c r="AE133" s="139"/>
      <c r="AF133" s="138"/>
      <c r="AG133" s="139"/>
      <c r="AH133" s="138"/>
      <c r="AI133" s="138"/>
      <c r="AJ133" s="138"/>
      <c r="AK133" s="138"/>
      <c r="AL133" s="138"/>
    </row>
    <row r="134" spans="2:38" x14ac:dyDescent="0.25">
      <c r="D134" t="s">
        <v>106</v>
      </c>
      <c r="E134" s="172" t="s">
        <v>170</v>
      </c>
      <c r="F134" s="71" t="s">
        <v>107</v>
      </c>
      <c r="G134" s="172" t="s">
        <v>173</v>
      </c>
      <c r="H134" s="71" t="s">
        <v>107</v>
      </c>
      <c r="I134" s="79" t="s">
        <v>176</v>
      </c>
      <c r="J134" s="71" t="s">
        <v>107</v>
      </c>
      <c r="K134" s="93" t="s">
        <v>183</v>
      </c>
      <c r="L134" s="139"/>
      <c r="M134" s="139"/>
      <c r="N134" s="143"/>
      <c r="O134" s="143"/>
      <c r="P134" s="138"/>
      <c r="Q134" s="139"/>
      <c r="R134" s="138"/>
      <c r="S134" s="143"/>
      <c r="T134" s="138"/>
      <c r="U134" s="139"/>
      <c r="V134" s="138"/>
      <c r="W134" s="138"/>
      <c r="X134" s="138"/>
      <c r="Y134" s="139"/>
      <c r="Z134" s="138"/>
      <c r="AA134" s="139"/>
      <c r="AB134" s="138"/>
      <c r="AC134" s="139"/>
      <c r="AD134" s="138"/>
      <c r="AE134" s="139"/>
      <c r="AF134" s="138"/>
      <c r="AG134" s="139"/>
      <c r="AH134" s="138"/>
      <c r="AI134" s="138"/>
      <c r="AJ134" s="138"/>
      <c r="AK134" s="138"/>
      <c r="AL134" s="138"/>
    </row>
    <row r="135" spans="2:38" x14ac:dyDescent="0.25">
      <c r="E135" s="79"/>
      <c r="F135" s="71"/>
      <c r="G135" s="79"/>
      <c r="H135" s="73"/>
      <c r="I135" s="73"/>
      <c r="J135" s="73" t="s">
        <v>108</v>
      </c>
      <c r="K135" s="98" t="s">
        <v>171</v>
      </c>
      <c r="L135" s="142"/>
      <c r="M135" s="141"/>
      <c r="N135" s="142"/>
      <c r="O135" s="143"/>
      <c r="P135" s="138"/>
      <c r="Q135" s="139"/>
      <c r="R135" s="138"/>
      <c r="S135" s="143"/>
      <c r="T135" s="138"/>
      <c r="U135" s="139"/>
      <c r="V135" s="138"/>
      <c r="W135" s="138"/>
      <c r="X135" s="138"/>
      <c r="Y135" s="139"/>
      <c r="Z135" s="138"/>
      <c r="AA135" s="139"/>
      <c r="AB135" s="138"/>
      <c r="AC135" s="139"/>
      <c r="AD135" s="138"/>
      <c r="AE135" s="139"/>
      <c r="AF135" s="138"/>
      <c r="AG135" s="139"/>
      <c r="AH135" s="138"/>
      <c r="AI135" s="138"/>
      <c r="AJ135" s="138"/>
      <c r="AK135" s="138"/>
      <c r="AL135" s="138"/>
    </row>
    <row r="136" spans="2:38" x14ac:dyDescent="0.25">
      <c r="E136" s="79"/>
      <c r="F136" s="71"/>
      <c r="G136" s="79"/>
      <c r="H136" s="71"/>
      <c r="I136" s="79"/>
      <c r="J136" s="71" t="s">
        <v>106</v>
      </c>
      <c r="K136" s="93" t="s">
        <v>186</v>
      </c>
      <c r="L136" s="139"/>
      <c r="M136" s="139"/>
      <c r="N136" s="143"/>
      <c r="O136" s="143"/>
      <c r="P136" s="138"/>
      <c r="Q136" s="139"/>
      <c r="R136" s="138"/>
      <c r="S136" s="143"/>
      <c r="T136" s="138"/>
      <c r="U136" s="139"/>
      <c r="V136" s="138"/>
      <c r="W136" s="138"/>
      <c r="X136" s="138"/>
      <c r="Y136" s="139"/>
      <c r="Z136" s="138"/>
      <c r="AA136" s="139"/>
      <c r="AB136" s="138"/>
      <c r="AC136" s="139"/>
      <c r="AD136" s="138"/>
      <c r="AE136" s="139"/>
      <c r="AF136" s="138"/>
      <c r="AG136" s="139"/>
      <c r="AH136" s="138"/>
      <c r="AI136" s="138"/>
      <c r="AJ136" s="138"/>
      <c r="AK136" s="138"/>
      <c r="AL136" s="138"/>
    </row>
    <row r="137" spans="2:38" x14ac:dyDescent="0.25">
      <c r="E137" s="79"/>
      <c r="F137" s="71"/>
      <c r="G137" s="79"/>
      <c r="H137" s="71" t="s">
        <v>108</v>
      </c>
      <c r="I137" s="79" t="s">
        <v>175</v>
      </c>
      <c r="J137" s="71" t="s">
        <v>107</v>
      </c>
      <c r="K137" s="93" t="s">
        <v>185</v>
      </c>
      <c r="L137" s="139"/>
      <c r="M137" s="139"/>
      <c r="N137" s="143"/>
      <c r="O137" s="143"/>
      <c r="P137" s="138"/>
      <c r="Q137" s="139"/>
      <c r="R137" s="138"/>
      <c r="S137" s="143"/>
      <c r="T137" s="138"/>
      <c r="U137" s="139"/>
      <c r="V137" s="138"/>
      <c r="W137" s="138"/>
      <c r="X137" s="138"/>
      <c r="Y137" s="139"/>
      <c r="Z137" s="138"/>
      <c r="AA137" s="139"/>
      <c r="AB137" s="138"/>
      <c r="AC137" s="139"/>
      <c r="AD137" s="138"/>
      <c r="AE137" s="139"/>
      <c r="AF137" s="138"/>
      <c r="AG137" s="139"/>
      <c r="AH137" s="138"/>
      <c r="AI137" s="138"/>
      <c r="AJ137" s="138"/>
      <c r="AK137" s="138"/>
      <c r="AL137" s="138"/>
    </row>
    <row r="138" spans="2:38" x14ac:dyDescent="0.25">
      <c r="E138" s="79"/>
      <c r="F138" s="73"/>
      <c r="G138" s="73"/>
      <c r="H138" s="73"/>
      <c r="I138" s="80"/>
      <c r="J138" s="73" t="s">
        <v>108</v>
      </c>
      <c r="K138" s="98" t="s">
        <v>163</v>
      </c>
      <c r="L138" s="141"/>
      <c r="M138" s="141"/>
      <c r="N138" s="141"/>
      <c r="O138" s="143"/>
      <c r="P138" s="138"/>
      <c r="Q138" s="139"/>
      <c r="R138" s="138"/>
      <c r="S138" s="143"/>
      <c r="T138" s="138"/>
      <c r="U138" s="139"/>
      <c r="V138" s="138"/>
      <c r="W138" s="138"/>
      <c r="X138" s="138"/>
      <c r="Y138" s="139"/>
      <c r="Z138" s="138"/>
      <c r="AA138" s="139"/>
      <c r="AB138" s="138"/>
      <c r="AC138" s="139"/>
      <c r="AD138" s="138"/>
      <c r="AE138" s="139"/>
      <c r="AF138" s="138"/>
      <c r="AG138" s="139"/>
      <c r="AH138" s="138"/>
      <c r="AI138" s="138"/>
      <c r="AJ138" s="138"/>
      <c r="AK138" s="138"/>
      <c r="AL138" s="138"/>
    </row>
    <row r="139" spans="2:38" x14ac:dyDescent="0.25">
      <c r="E139" s="79"/>
      <c r="G139" s="79"/>
      <c r="H139" s="71" t="s">
        <v>106</v>
      </c>
      <c r="I139" s="93" t="s">
        <v>180</v>
      </c>
      <c r="J139" s="145"/>
      <c r="K139" s="139"/>
      <c r="L139" s="139"/>
      <c r="M139" s="139"/>
      <c r="N139" s="143"/>
      <c r="O139" s="143"/>
      <c r="P139" s="138"/>
      <c r="Q139" s="139"/>
      <c r="R139" s="138"/>
      <c r="S139" s="143"/>
      <c r="T139" s="138"/>
      <c r="U139" s="139"/>
      <c r="V139" s="138"/>
      <c r="W139" s="138"/>
      <c r="X139" s="138"/>
      <c r="Y139" s="139"/>
      <c r="Z139" s="138"/>
      <c r="AA139" s="139"/>
      <c r="AB139" s="138"/>
      <c r="AC139" s="139"/>
      <c r="AD139" s="138"/>
      <c r="AE139" s="139"/>
      <c r="AF139" s="138"/>
      <c r="AG139" s="139"/>
      <c r="AH139" s="138"/>
      <c r="AI139" s="138"/>
      <c r="AJ139" s="138"/>
      <c r="AK139" s="138"/>
      <c r="AL139" s="138"/>
    </row>
    <row r="140" spans="2:38" x14ac:dyDescent="0.25">
      <c r="D140" s="71"/>
      <c r="E140" s="110"/>
      <c r="F140" s="71" t="s">
        <v>108</v>
      </c>
      <c r="G140" s="172" t="s">
        <v>172</v>
      </c>
      <c r="H140" s="71" t="s">
        <v>107</v>
      </c>
      <c r="I140" s="93" t="s">
        <v>179</v>
      </c>
      <c r="J140" s="145"/>
      <c r="K140" s="139"/>
      <c r="L140" s="139"/>
      <c r="M140" s="139"/>
      <c r="N140" s="143"/>
      <c r="O140" s="143"/>
      <c r="P140" s="138"/>
      <c r="Q140" s="139"/>
      <c r="R140" s="145"/>
      <c r="S140" s="143"/>
      <c r="T140" s="138"/>
      <c r="U140" s="139"/>
      <c r="V140" s="138"/>
      <c r="W140" s="138"/>
      <c r="X140" s="138"/>
      <c r="Y140" s="139"/>
      <c r="Z140" s="138"/>
      <c r="AA140" s="139"/>
      <c r="AB140" s="138"/>
      <c r="AC140" s="139"/>
      <c r="AD140" s="138"/>
      <c r="AE140" s="139"/>
      <c r="AF140" s="138"/>
      <c r="AG140" s="139"/>
      <c r="AH140" s="138"/>
      <c r="AI140" s="138"/>
      <c r="AJ140" s="138"/>
      <c r="AK140" s="138"/>
      <c r="AL140" s="138"/>
    </row>
    <row r="141" spans="2:38" x14ac:dyDescent="0.25">
      <c r="E141" s="79"/>
      <c r="F141" s="72"/>
      <c r="G141" s="73"/>
      <c r="H141" s="73" t="s">
        <v>108</v>
      </c>
      <c r="I141" s="98" t="s">
        <v>178</v>
      </c>
      <c r="J141" s="142"/>
      <c r="K141" s="141"/>
      <c r="L141" s="141"/>
      <c r="M141" s="141"/>
      <c r="N141" s="141"/>
      <c r="O141" s="143"/>
      <c r="P141" s="138"/>
      <c r="Q141" s="139"/>
      <c r="R141" s="145"/>
      <c r="S141" s="143"/>
      <c r="T141" s="138"/>
      <c r="U141" s="139"/>
      <c r="V141" s="138"/>
      <c r="W141" s="138"/>
      <c r="X141" s="138"/>
      <c r="Y141" s="139"/>
      <c r="Z141" s="138"/>
      <c r="AA141" s="139"/>
      <c r="AB141" s="138"/>
      <c r="AC141" s="139"/>
      <c r="AD141" s="138"/>
      <c r="AE141" s="139"/>
      <c r="AF141" s="138"/>
      <c r="AG141" s="139"/>
      <c r="AH141" s="138"/>
      <c r="AI141" s="138"/>
      <c r="AJ141" s="138"/>
      <c r="AK141" s="138"/>
      <c r="AL141" s="138"/>
    </row>
    <row r="142" spans="2:38" x14ac:dyDescent="0.25">
      <c r="G142" s="71"/>
      <c r="H142" s="71" t="s">
        <v>106</v>
      </c>
      <c r="I142" s="93" t="s">
        <v>182</v>
      </c>
      <c r="J142" s="145"/>
      <c r="K142" s="139"/>
      <c r="L142" s="139"/>
      <c r="M142" s="139"/>
      <c r="N142" s="143"/>
      <c r="O142" s="143"/>
      <c r="P142" s="138"/>
      <c r="Q142" s="139"/>
      <c r="R142" s="145"/>
      <c r="S142" s="143"/>
      <c r="T142" s="138"/>
      <c r="U142" s="139"/>
      <c r="V142" s="138"/>
      <c r="W142" s="138"/>
      <c r="X142" s="138"/>
      <c r="Y142" s="139"/>
      <c r="Z142" s="138"/>
      <c r="AA142" s="139"/>
      <c r="AB142" s="138"/>
      <c r="AC142" s="139"/>
      <c r="AD142" s="138"/>
      <c r="AE142" s="139"/>
      <c r="AF142" s="138"/>
      <c r="AG142" s="139"/>
      <c r="AH142" s="138"/>
      <c r="AI142" s="138"/>
      <c r="AJ142" s="138"/>
      <c r="AK142" s="138"/>
      <c r="AL142" s="138"/>
    </row>
    <row r="143" spans="2:38" x14ac:dyDescent="0.25">
      <c r="F143" t="s">
        <v>106</v>
      </c>
      <c r="G143" s="79" t="s">
        <v>177</v>
      </c>
      <c r="H143" s="71" t="s">
        <v>107</v>
      </c>
      <c r="I143" s="93" t="s">
        <v>181</v>
      </c>
      <c r="J143" s="145"/>
      <c r="K143" s="139"/>
      <c r="L143" s="139"/>
      <c r="M143" s="139"/>
      <c r="N143" s="143"/>
      <c r="O143" s="143"/>
      <c r="P143" s="138"/>
      <c r="Q143" s="139"/>
      <c r="R143" s="145"/>
      <c r="S143" s="143"/>
      <c r="T143" s="138"/>
      <c r="U143" s="139"/>
      <c r="V143" s="138"/>
      <c r="W143" s="138"/>
      <c r="X143" s="138"/>
      <c r="Y143" s="139"/>
      <c r="Z143" s="138"/>
      <c r="AA143" s="139"/>
      <c r="AB143" s="138"/>
      <c r="AC143" s="139"/>
      <c r="AD143" s="138"/>
      <c r="AE143" s="139"/>
      <c r="AF143" s="138"/>
      <c r="AG143" s="139"/>
      <c r="AH143" s="138"/>
      <c r="AI143" s="138"/>
      <c r="AJ143" s="138"/>
      <c r="AK143" s="138"/>
      <c r="AL143" s="138"/>
    </row>
    <row r="144" spans="2:38" x14ac:dyDescent="0.25">
      <c r="F144" s="72"/>
      <c r="G144" s="73"/>
      <c r="H144" s="73" t="s">
        <v>108</v>
      </c>
      <c r="I144" s="98" t="s">
        <v>170</v>
      </c>
      <c r="J144" s="142"/>
      <c r="K144" s="141"/>
      <c r="L144" s="141"/>
      <c r="M144" s="141"/>
      <c r="N144" s="141"/>
      <c r="O144" s="143"/>
      <c r="P144" s="138"/>
      <c r="Q144" s="139"/>
      <c r="R144" s="145"/>
      <c r="S144" s="143"/>
      <c r="T144" s="138"/>
      <c r="U144" s="139"/>
      <c r="V144" s="138"/>
      <c r="W144" s="138"/>
      <c r="X144" s="138"/>
      <c r="Y144" s="139"/>
      <c r="Z144" s="138"/>
      <c r="AA144" s="139"/>
      <c r="AB144" s="138"/>
      <c r="AC144" s="139"/>
      <c r="AD144" s="138"/>
      <c r="AE144" s="139"/>
      <c r="AF144" s="138"/>
      <c r="AG144" s="139"/>
      <c r="AH144" s="138"/>
      <c r="AI144" s="138"/>
      <c r="AJ144" s="138"/>
      <c r="AK144" s="138"/>
      <c r="AL144" s="138"/>
    </row>
    <row r="145" spans="1:38" x14ac:dyDescent="0.25">
      <c r="E145"/>
      <c r="F145" s="71"/>
      <c r="G145" s="71"/>
      <c r="H145" s="71" t="s">
        <v>106</v>
      </c>
      <c r="I145" s="93" t="s">
        <v>184</v>
      </c>
      <c r="J145" s="145"/>
      <c r="K145" s="139"/>
      <c r="L145" s="139"/>
      <c r="M145" s="139"/>
      <c r="N145" s="143"/>
      <c r="O145" s="143"/>
      <c r="P145" s="138"/>
      <c r="Q145" s="139"/>
      <c r="R145" s="145"/>
      <c r="S145" s="143"/>
      <c r="T145" s="138"/>
      <c r="U145" s="139"/>
      <c r="V145" s="138"/>
      <c r="W145" s="138"/>
      <c r="X145" s="138"/>
      <c r="Y145" s="139"/>
      <c r="Z145" s="138"/>
      <c r="AA145" s="139"/>
      <c r="AB145" s="138"/>
      <c r="AC145" s="139"/>
      <c r="AD145" s="138"/>
      <c r="AE145" s="139"/>
      <c r="AF145" s="138"/>
      <c r="AG145" s="139"/>
      <c r="AH145" s="138"/>
      <c r="AI145" s="138"/>
      <c r="AJ145" s="138"/>
      <c r="AK145" s="138"/>
      <c r="AL145" s="138"/>
    </row>
    <row r="146" spans="1:38" x14ac:dyDescent="0.25">
      <c r="C146" s="172" t="s">
        <v>163</v>
      </c>
      <c r="D146" s="71" t="s">
        <v>107</v>
      </c>
      <c r="E146" s="172" t="s">
        <v>169</v>
      </c>
      <c r="F146" s="71" t="s">
        <v>107</v>
      </c>
      <c r="G146" s="79" t="s">
        <v>176</v>
      </c>
      <c r="H146" s="71" t="s">
        <v>107</v>
      </c>
      <c r="I146" s="93" t="s">
        <v>183</v>
      </c>
      <c r="J146" s="145"/>
      <c r="K146" s="139"/>
      <c r="L146" s="139"/>
      <c r="M146" s="139"/>
      <c r="N146" s="143"/>
      <c r="O146" s="143"/>
      <c r="P146" s="138"/>
      <c r="Q146" s="139"/>
      <c r="R146" s="145"/>
      <c r="S146" s="143"/>
      <c r="T146" s="138"/>
      <c r="U146" s="139"/>
      <c r="V146" s="138"/>
      <c r="W146" s="138"/>
      <c r="X146" s="138"/>
      <c r="Y146" s="139"/>
      <c r="Z146" s="138"/>
      <c r="AA146" s="139"/>
      <c r="AB146" s="138"/>
      <c r="AC146" s="139"/>
      <c r="AD146" s="138"/>
      <c r="AE146" s="139"/>
      <c r="AF146" s="138"/>
      <c r="AG146" s="139"/>
      <c r="AH146" s="138"/>
      <c r="AI146" s="138"/>
      <c r="AJ146" s="138"/>
      <c r="AK146" s="138"/>
      <c r="AL146" s="138"/>
    </row>
    <row r="147" spans="1:38" x14ac:dyDescent="0.25">
      <c r="C147" s="79"/>
      <c r="D147" s="71"/>
      <c r="E147" s="79"/>
      <c r="F147" s="73"/>
      <c r="G147" s="80"/>
      <c r="H147" s="73" t="s">
        <v>108</v>
      </c>
      <c r="I147" s="98" t="s">
        <v>171</v>
      </c>
      <c r="J147" s="142"/>
      <c r="K147" s="141"/>
      <c r="L147" s="141"/>
      <c r="M147" s="141"/>
      <c r="N147" s="141"/>
      <c r="O147" s="143"/>
      <c r="P147" s="138"/>
      <c r="Q147" s="139"/>
      <c r="R147" s="145"/>
      <c r="S147" s="143"/>
      <c r="T147" s="138"/>
      <c r="U147" s="139"/>
      <c r="V147" s="138"/>
      <c r="W147" s="138"/>
      <c r="X147" s="138"/>
      <c r="Y147" s="139"/>
      <c r="Z147" s="138"/>
      <c r="AA147" s="139"/>
      <c r="AB147" s="138"/>
      <c r="AC147" s="139"/>
      <c r="AD147" s="138"/>
      <c r="AE147" s="139"/>
      <c r="AF147" s="138"/>
      <c r="AG147" s="139"/>
      <c r="AH147" s="138"/>
      <c r="AI147" s="138"/>
      <c r="AJ147" s="138"/>
      <c r="AK147" s="138"/>
      <c r="AL147" s="138"/>
    </row>
    <row r="148" spans="1:38" x14ac:dyDescent="0.25">
      <c r="C148" s="110"/>
      <c r="D148" s="71"/>
      <c r="E148" s="79"/>
      <c r="H148" s="71" t="s">
        <v>106</v>
      </c>
      <c r="I148" s="93" t="s">
        <v>186</v>
      </c>
      <c r="J148" s="145"/>
      <c r="K148" s="139"/>
      <c r="L148" s="139"/>
      <c r="M148" s="139"/>
      <c r="N148" s="143"/>
      <c r="O148" s="143"/>
      <c r="P148" s="138"/>
      <c r="Q148" s="139"/>
      <c r="R148" s="145"/>
      <c r="S148" s="143"/>
      <c r="T148" s="138"/>
      <c r="U148" s="139"/>
      <c r="V148" s="138"/>
      <c r="W148" s="138"/>
      <c r="X148" s="138"/>
      <c r="Y148" s="139"/>
      <c r="Z148" s="138"/>
      <c r="AA148" s="139"/>
      <c r="AB148" s="138"/>
      <c r="AC148" s="139"/>
      <c r="AD148" s="138"/>
      <c r="AE148" s="139"/>
      <c r="AF148" s="138"/>
      <c r="AG148" s="139"/>
      <c r="AH148" s="138"/>
      <c r="AI148" s="138"/>
      <c r="AJ148" s="138"/>
      <c r="AK148" s="138"/>
      <c r="AL148" s="138"/>
    </row>
    <row r="149" spans="1:38" x14ac:dyDescent="0.25">
      <c r="C149" s="110"/>
      <c r="D149" s="71"/>
      <c r="E149" s="110"/>
      <c r="F149" s="71" t="s">
        <v>108</v>
      </c>
      <c r="G149" s="79" t="s">
        <v>175</v>
      </c>
      <c r="H149" s="71" t="s">
        <v>107</v>
      </c>
      <c r="I149" s="93" t="s">
        <v>185</v>
      </c>
      <c r="J149" s="145"/>
      <c r="K149" s="139"/>
      <c r="L149" s="139"/>
      <c r="M149" s="139"/>
      <c r="N149" s="143"/>
      <c r="O149" s="143"/>
      <c r="P149" s="138"/>
      <c r="Q149" s="139"/>
      <c r="R149" s="145"/>
      <c r="S149" s="143"/>
      <c r="T149" s="138"/>
      <c r="U149" s="139"/>
      <c r="V149" s="138"/>
      <c r="W149" s="138"/>
      <c r="X149" s="138"/>
      <c r="Y149" s="139"/>
      <c r="Z149" s="138"/>
      <c r="AA149" s="139"/>
      <c r="AB149" s="138"/>
      <c r="AC149" s="139"/>
      <c r="AD149" s="138"/>
      <c r="AE149" s="139"/>
      <c r="AF149" s="138"/>
      <c r="AG149" s="139"/>
      <c r="AH149" s="138"/>
      <c r="AI149" s="138"/>
      <c r="AJ149" s="138"/>
      <c r="AK149" s="138"/>
      <c r="AL149" s="138"/>
    </row>
    <row r="150" spans="1:38" x14ac:dyDescent="0.25">
      <c r="E150" s="79"/>
      <c r="F150" s="72"/>
      <c r="G150" s="111"/>
      <c r="H150" s="73" t="s">
        <v>108</v>
      </c>
      <c r="I150" s="98" t="s">
        <v>163</v>
      </c>
      <c r="J150" s="142"/>
      <c r="K150" s="141"/>
      <c r="L150" s="141"/>
      <c r="M150" s="141"/>
      <c r="N150" s="141"/>
      <c r="O150" s="143"/>
      <c r="P150" s="138"/>
      <c r="Q150" s="139"/>
      <c r="R150" s="145"/>
      <c r="S150" s="143"/>
      <c r="T150" s="138"/>
      <c r="U150" s="139"/>
      <c r="V150" s="138"/>
      <c r="W150" s="138"/>
      <c r="X150" s="138"/>
      <c r="Y150" s="139"/>
      <c r="Z150" s="138"/>
      <c r="AA150" s="139"/>
      <c r="AB150" s="138"/>
      <c r="AC150" s="139"/>
      <c r="AD150" s="138"/>
      <c r="AE150" s="139"/>
      <c r="AF150" s="138"/>
      <c r="AG150" s="139"/>
      <c r="AH150" s="138"/>
      <c r="AI150" s="138"/>
      <c r="AJ150" s="138"/>
      <c r="AK150" s="138"/>
      <c r="AL150" s="138"/>
    </row>
    <row r="151" spans="1:38" x14ac:dyDescent="0.25">
      <c r="D151" s="71"/>
      <c r="E151" s="79"/>
      <c r="F151" s="79" t="s">
        <v>106</v>
      </c>
      <c r="G151" s="93" t="s">
        <v>180</v>
      </c>
      <c r="H151" s="142"/>
      <c r="I151" s="141"/>
      <c r="J151" s="142"/>
      <c r="K151" s="141"/>
      <c r="L151" s="141"/>
      <c r="M151" s="141"/>
      <c r="N151" s="141"/>
      <c r="O151" s="143"/>
      <c r="P151" s="138"/>
      <c r="Q151" s="139"/>
      <c r="R151" s="145"/>
      <c r="S151" s="143"/>
      <c r="T151" s="138"/>
      <c r="U151" s="139"/>
      <c r="V151" s="138"/>
      <c r="W151" s="138"/>
      <c r="X151" s="138"/>
      <c r="Y151" s="139"/>
      <c r="Z151" s="138"/>
      <c r="AA151" s="139"/>
      <c r="AB151" s="138"/>
      <c r="AC151" s="139"/>
      <c r="AD151" s="138"/>
      <c r="AE151" s="139"/>
      <c r="AF151" s="138"/>
      <c r="AG151" s="139"/>
      <c r="AH151" s="138"/>
      <c r="AI151" s="138"/>
      <c r="AJ151" s="138"/>
      <c r="AK151" s="138"/>
      <c r="AL151" s="138"/>
    </row>
    <row r="152" spans="1:38" x14ac:dyDescent="0.25">
      <c r="B152" s="71" t="s">
        <v>106</v>
      </c>
      <c r="D152" t="s">
        <v>108</v>
      </c>
      <c r="E152" s="172" t="s">
        <v>168</v>
      </c>
      <c r="F152" s="79" t="s">
        <v>107</v>
      </c>
      <c r="G152" s="93" t="s">
        <v>179</v>
      </c>
      <c r="H152" s="145"/>
      <c r="I152" s="139"/>
      <c r="J152" s="145"/>
      <c r="K152" s="139"/>
      <c r="L152" s="139"/>
      <c r="M152" s="139"/>
      <c r="N152" s="143"/>
      <c r="O152" s="143"/>
      <c r="P152" s="138"/>
      <c r="Q152" s="139"/>
      <c r="R152" s="145"/>
      <c r="S152" s="143"/>
      <c r="T152" s="138"/>
      <c r="U152" s="139"/>
      <c r="V152" s="138"/>
      <c r="W152" s="138"/>
      <c r="X152" s="138"/>
      <c r="Y152" s="139"/>
      <c r="Z152" s="138"/>
      <c r="AA152" s="139"/>
      <c r="AB152" s="138"/>
      <c r="AC152" s="139"/>
      <c r="AD152" s="138"/>
      <c r="AE152" s="139"/>
      <c r="AF152" s="138"/>
      <c r="AG152" s="139"/>
      <c r="AH152" s="138"/>
      <c r="AI152" s="138"/>
      <c r="AJ152" s="138"/>
      <c r="AK152" s="138"/>
      <c r="AL152" s="138"/>
    </row>
    <row r="153" spans="1:38" x14ac:dyDescent="0.25">
      <c r="C153" s="72"/>
      <c r="D153" s="72"/>
      <c r="E153" s="80"/>
      <c r="F153" s="80"/>
      <c r="G153" s="98" t="s">
        <v>178</v>
      </c>
      <c r="H153" s="142"/>
      <c r="I153" s="141"/>
      <c r="J153" s="142"/>
      <c r="K153" s="141"/>
      <c r="L153" s="141"/>
      <c r="M153" s="141"/>
      <c r="N153" s="141"/>
      <c r="O153" s="143"/>
      <c r="P153" s="138"/>
      <c r="Q153" s="139"/>
      <c r="R153" s="145"/>
      <c r="S153" s="143"/>
      <c r="T153" s="138"/>
      <c r="U153" s="139"/>
      <c r="V153" s="138"/>
      <c r="W153" s="138"/>
      <c r="X153" s="138"/>
      <c r="Y153" s="139"/>
      <c r="Z153" s="138"/>
      <c r="AA153" s="139"/>
      <c r="AB153" s="138"/>
      <c r="AC153" s="139"/>
      <c r="AD153" s="138"/>
      <c r="AE153" s="139"/>
      <c r="AF153" s="138"/>
      <c r="AG153" s="139"/>
      <c r="AH153" s="138"/>
      <c r="AI153" s="138"/>
      <c r="AJ153" s="138"/>
      <c r="AK153" s="138"/>
      <c r="AL153" s="138"/>
    </row>
    <row r="154" spans="1:38" x14ac:dyDescent="0.25">
      <c r="C154" s="75"/>
      <c r="F154" s="71" t="s">
        <v>106</v>
      </c>
      <c r="G154" s="93" t="s">
        <v>182</v>
      </c>
      <c r="H154" s="145"/>
      <c r="I154" s="139"/>
      <c r="J154" s="145"/>
      <c r="K154" s="139"/>
      <c r="L154" s="139"/>
      <c r="M154" s="139"/>
      <c r="N154" s="143"/>
      <c r="O154" s="143"/>
      <c r="P154" s="138"/>
      <c r="Q154" s="139"/>
      <c r="R154" s="145"/>
      <c r="S154" s="143"/>
      <c r="T154" s="138"/>
      <c r="U154" s="139"/>
      <c r="V154" s="138"/>
      <c r="W154" s="138"/>
      <c r="X154" s="138"/>
      <c r="Y154" s="139"/>
      <c r="Z154" s="138"/>
      <c r="AA154" s="139"/>
      <c r="AB154" s="138"/>
      <c r="AC154" s="139"/>
      <c r="AD154" s="138"/>
      <c r="AE154" s="139"/>
      <c r="AF154" s="138"/>
      <c r="AG154" s="139"/>
      <c r="AH154" s="138"/>
      <c r="AI154" s="138"/>
      <c r="AJ154" s="138"/>
      <c r="AK154" s="138"/>
      <c r="AL154" s="138"/>
    </row>
    <row r="155" spans="1:38" x14ac:dyDescent="0.25">
      <c r="A155" s="172" t="s">
        <v>160</v>
      </c>
      <c r="E155" s="79" t="s">
        <v>171</v>
      </c>
      <c r="F155" s="71" t="s">
        <v>107</v>
      </c>
      <c r="G155" s="93" t="s">
        <v>181</v>
      </c>
      <c r="H155" s="145"/>
      <c r="I155" s="139"/>
      <c r="J155" s="145"/>
      <c r="K155" s="139"/>
      <c r="L155" s="139"/>
      <c r="M155" s="139"/>
      <c r="N155" s="143"/>
      <c r="O155" s="143"/>
      <c r="P155" s="138"/>
      <c r="Q155" s="139"/>
      <c r="R155" s="145"/>
      <c r="S155" s="143"/>
      <c r="T155" s="138"/>
      <c r="U155" s="139"/>
      <c r="V155" s="138"/>
      <c r="W155" s="138"/>
      <c r="X155" s="138"/>
      <c r="Y155" s="139"/>
      <c r="Z155" s="138"/>
      <c r="AA155" s="139"/>
      <c r="AB155" s="138"/>
      <c r="AC155" s="139"/>
      <c r="AD155" s="138"/>
      <c r="AE155" s="139"/>
      <c r="AF155" s="138"/>
      <c r="AG155" s="139"/>
      <c r="AH155" s="138"/>
      <c r="AI155" s="138"/>
      <c r="AJ155" s="138"/>
      <c r="AK155" s="138"/>
      <c r="AL155" s="138"/>
    </row>
    <row r="156" spans="1:38" x14ac:dyDescent="0.25">
      <c r="A156" s="110"/>
      <c r="D156" s="71" t="s">
        <v>106</v>
      </c>
      <c r="E156" s="111"/>
      <c r="F156" s="73" t="s">
        <v>108</v>
      </c>
      <c r="G156" s="98" t="s">
        <v>170</v>
      </c>
      <c r="H156" s="142"/>
      <c r="I156" s="141"/>
      <c r="J156" s="142"/>
      <c r="K156" s="141"/>
      <c r="L156" s="141"/>
      <c r="M156" s="141"/>
      <c r="N156" s="141"/>
      <c r="O156" s="143"/>
      <c r="P156" s="138"/>
      <c r="Q156" s="139"/>
      <c r="R156" s="145"/>
      <c r="S156" s="143"/>
      <c r="T156" s="138"/>
      <c r="U156" s="139"/>
      <c r="V156" s="138"/>
      <c r="W156" s="138"/>
      <c r="X156" s="138"/>
      <c r="Y156" s="139"/>
      <c r="Z156" s="138"/>
      <c r="AA156" s="139"/>
      <c r="AB156" s="138"/>
      <c r="AC156" s="139"/>
      <c r="AD156" s="138"/>
      <c r="AE156" s="139"/>
      <c r="AF156" s="138"/>
      <c r="AG156" s="139"/>
      <c r="AH156" s="138"/>
      <c r="AI156" s="138"/>
      <c r="AJ156" s="138"/>
      <c r="AK156" s="138"/>
      <c r="AL156" s="138"/>
    </row>
    <row r="157" spans="1:38" x14ac:dyDescent="0.25">
      <c r="A157" s="71"/>
      <c r="B157" s="71" t="s">
        <v>107</v>
      </c>
      <c r="F157" s="71" t="s">
        <v>106</v>
      </c>
      <c r="G157" s="93" t="s">
        <v>184</v>
      </c>
      <c r="H157" s="145"/>
      <c r="I157" s="139"/>
      <c r="J157" s="145"/>
      <c r="K157" s="139"/>
      <c r="L157" s="139"/>
      <c r="M157" s="139"/>
      <c r="N157" s="143"/>
      <c r="O157" s="143"/>
      <c r="P157" s="138"/>
      <c r="Q157" s="139"/>
      <c r="R157" s="145"/>
      <c r="S157" s="143"/>
      <c r="T157" s="138"/>
      <c r="U157" s="139"/>
      <c r="V157" s="138"/>
      <c r="W157" s="138"/>
      <c r="X157" s="138"/>
      <c r="Y157" s="139"/>
      <c r="Z157" s="138"/>
      <c r="AA157" s="139"/>
      <c r="AB157" s="138"/>
      <c r="AC157" s="139"/>
      <c r="AD157" s="138"/>
      <c r="AE157" s="139"/>
      <c r="AF157" s="138"/>
      <c r="AG157" s="139"/>
      <c r="AH157" s="138"/>
      <c r="AI157" s="138"/>
      <c r="AJ157" s="138"/>
      <c r="AK157" s="138"/>
      <c r="AL157" s="138"/>
    </row>
    <row r="158" spans="1:38" x14ac:dyDescent="0.25">
      <c r="A158" s="71"/>
      <c r="C158" s="172" t="s">
        <v>164</v>
      </c>
      <c r="D158" t="s">
        <v>107</v>
      </c>
      <c r="E158" s="79" t="s">
        <v>167</v>
      </c>
      <c r="F158" s="71" t="s">
        <v>107</v>
      </c>
      <c r="G158" s="93" t="s">
        <v>183</v>
      </c>
      <c r="H158" s="145"/>
      <c r="I158" s="139"/>
      <c r="J158" s="145"/>
      <c r="K158" s="139"/>
      <c r="L158" s="139"/>
      <c r="M158" s="139"/>
      <c r="N158" s="143"/>
      <c r="O158" s="143"/>
      <c r="P158" s="138"/>
      <c r="Q158" s="139"/>
      <c r="R158" s="145"/>
      <c r="S158" s="143"/>
      <c r="T158" s="138"/>
      <c r="U158" s="139"/>
      <c r="V158" s="138"/>
      <c r="W158" s="138"/>
      <c r="X158" s="138"/>
      <c r="Y158" s="139"/>
      <c r="Z158" s="138"/>
      <c r="AA158" s="139"/>
      <c r="AB158" s="138"/>
      <c r="AC158" s="139"/>
      <c r="AD158" s="138"/>
      <c r="AE158" s="139"/>
      <c r="AF158" s="138"/>
      <c r="AG158" s="139"/>
      <c r="AH158" s="138"/>
      <c r="AI158" s="138"/>
      <c r="AJ158" s="138"/>
      <c r="AK158" s="138"/>
      <c r="AL158" s="138"/>
    </row>
    <row r="159" spans="1:38" x14ac:dyDescent="0.25">
      <c r="A159" s="71"/>
      <c r="C159" s="110"/>
      <c r="E159" s="111"/>
      <c r="F159" s="73" t="s">
        <v>108</v>
      </c>
      <c r="G159" s="98" t="s">
        <v>171</v>
      </c>
      <c r="H159" s="142"/>
      <c r="I159" s="141"/>
      <c r="J159" s="142"/>
      <c r="K159" s="141"/>
      <c r="L159" s="141"/>
      <c r="M159" s="141"/>
      <c r="N159" s="141"/>
      <c r="O159" s="143"/>
      <c r="P159" s="138"/>
      <c r="Q159" s="139"/>
      <c r="R159" s="145"/>
      <c r="S159" s="143"/>
      <c r="T159" s="145"/>
      <c r="U159" s="139"/>
      <c r="V159" s="138"/>
      <c r="W159" s="138"/>
      <c r="X159" s="138"/>
      <c r="Y159" s="139"/>
      <c r="Z159" s="138"/>
      <c r="AA159" s="139"/>
      <c r="AB159" s="138"/>
      <c r="AC159" s="139"/>
      <c r="AD159" s="138"/>
      <c r="AE159" s="139"/>
      <c r="AF159" s="138"/>
      <c r="AG159" s="139"/>
      <c r="AH159" s="138"/>
      <c r="AI159" s="138"/>
      <c r="AJ159" s="138"/>
      <c r="AK159" s="138"/>
      <c r="AL159" s="138"/>
    </row>
    <row r="160" spans="1:38" x14ac:dyDescent="0.25">
      <c r="A160" s="71"/>
      <c r="D160" s="71" t="s">
        <v>108</v>
      </c>
      <c r="F160" s="71" t="s">
        <v>106</v>
      </c>
      <c r="G160" s="93" t="s">
        <v>186</v>
      </c>
      <c r="H160" s="145"/>
      <c r="I160" s="139"/>
      <c r="J160" s="145"/>
      <c r="K160" s="139"/>
      <c r="L160" s="139"/>
      <c r="M160" s="139"/>
      <c r="N160" s="143"/>
      <c r="O160" s="143"/>
      <c r="P160" s="138"/>
      <c r="Q160" s="139"/>
      <c r="R160" s="145"/>
      <c r="S160" s="143"/>
      <c r="T160" s="145"/>
      <c r="U160" s="139"/>
      <c r="V160" s="138"/>
      <c r="W160" s="138"/>
      <c r="X160" s="138"/>
      <c r="Y160" s="139"/>
      <c r="Z160" s="138"/>
      <c r="AA160" s="139"/>
      <c r="AB160" s="138"/>
      <c r="AC160" s="139"/>
      <c r="AD160" s="138"/>
      <c r="AE160" s="139"/>
      <c r="AF160" s="138"/>
      <c r="AG160" s="139"/>
      <c r="AH160" s="138"/>
      <c r="AI160" s="138"/>
      <c r="AJ160" s="138"/>
      <c r="AK160" s="138"/>
      <c r="AL160" s="138"/>
    </row>
    <row r="161" spans="1:38" x14ac:dyDescent="0.25">
      <c r="A161" s="71"/>
      <c r="E161" s="79" t="s">
        <v>166</v>
      </c>
      <c r="F161" s="71" t="s">
        <v>107</v>
      </c>
      <c r="G161" s="93" t="s">
        <v>185</v>
      </c>
      <c r="H161" s="145"/>
      <c r="I161" s="139"/>
      <c r="J161" s="145"/>
      <c r="K161" s="139"/>
      <c r="L161" s="139"/>
      <c r="M161" s="139"/>
      <c r="N161" s="143"/>
      <c r="O161" s="143"/>
      <c r="P161" s="138"/>
      <c r="Q161" s="139"/>
      <c r="R161" s="145"/>
      <c r="S161" s="143"/>
      <c r="T161" s="145"/>
      <c r="U161" s="139"/>
      <c r="V161" s="138"/>
      <c r="W161" s="138"/>
      <c r="X161" s="138"/>
      <c r="Y161" s="139"/>
      <c r="Z161" s="138"/>
      <c r="AA161" s="139"/>
      <c r="AB161" s="138"/>
      <c r="AC161" s="139"/>
      <c r="AD161" s="138"/>
      <c r="AE161" s="139"/>
      <c r="AF161" s="138"/>
      <c r="AG161" s="139"/>
      <c r="AH161" s="138"/>
      <c r="AI161" s="138"/>
      <c r="AJ161" s="138"/>
      <c r="AK161" s="138"/>
      <c r="AL161" s="138"/>
    </row>
    <row r="162" spans="1:38" x14ac:dyDescent="0.25">
      <c r="A162" s="71"/>
      <c r="C162" s="72"/>
      <c r="D162" s="72"/>
      <c r="E162" s="111"/>
      <c r="F162" s="73" t="s">
        <v>108</v>
      </c>
      <c r="G162" s="98" t="s">
        <v>163</v>
      </c>
      <c r="H162" s="142"/>
      <c r="I162" s="141"/>
      <c r="J162" s="142"/>
      <c r="K162" s="141"/>
      <c r="L162" s="141"/>
      <c r="M162" s="141"/>
      <c r="N162" s="141"/>
      <c r="O162" s="143"/>
      <c r="P162" s="145"/>
      <c r="Q162" s="139"/>
      <c r="R162" s="145"/>
      <c r="S162" s="139"/>
      <c r="T162" s="145"/>
      <c r="U162" s="139"/>
      <c r="V162" s="138"/>
      <c r="W162" s="138"/>
      <c r="X162" s="138"/>
      <c r="Y162" s="139"/>
      <c r="Z162" s="138"/>
      <c r="AA162" s="139"/>
      <c r="AB162" s="138"/>
      <c r="AC162" s="139"/>
      <c r="AD162" s="138"/>
      <c r="AE162" s="139"/>
      <c r="AF162" s="138"/>
      <c r="AG162" s="139"/>
      <c r="AH162" s="138"/>
      <c r="AI162" s="138"/>
      <c r="AJ162" s="138"/>
      <c r="AK162" s="138"/>
      <c r="AL162" s="138"/>
    </row>
    <row r="163" spans="1:38" x14ac:dyDescent="0.25">
      <c r="A163" s="71"/>
      <c r="B163" s="71" t="s">
        <v>108</v>
      </c>
      <c r="C163" s="75"/>
      <c r="D163" s="75"/>
      <c r="F163" s="71" t="s">
        <v>106</v>
      </c>
      <c r="G163" s="93" t="s">
        <v>170</v>
      </c>
      <c r="H163" s="145"/>
      <c r="I163" s="139"/>
      <c r="J163" s="145"/>
      <c r="K163" s="139"/>
      <c r="L163" s="139"/>
      <c r="M163" s="139"/>
      <c r="N163" s="143"/>
      <c r="O163" s="143"/>
      <c r="P163" s="145"/>
      <c r="Q163" s="139"/>
      <c r="R163" s="145"/>
      <c r="S163" s="139"/>
      <c r="T163" s="145"/>
      <c r="U163" s="139"/>
      <c r="V163" s="138"/>
      <c r="W163" s="138"/>
      <c r="X163" s="138"/>
      <c r="Y163" s="139"/>
      <c r="Z163" s="138"/>
      <c r="AA163" s="139"/>
      <c r="AB163" s="138"/>
      <c r="AC163" s="139"/>
      <c r="AD163" s="138"/>
      <c r="AE163" s="139"/>
      <c r="AF163" s="138"/>
      <c r="AG163" s="139"/>
      <c r="AH163" s="138"/>
      <c r="AI163" s="138"/>
      <c r="AJ163" s="138"/>
      <c r="AK163" s="138"/>
      <c r="AL163" s="138"/>
    </row>
    <row r="164" spans="1:38" x14ac:dyDescent="0.25">
      <c r="A164" s="71"/>
      <c r="E164" s="79" t="s">
        <v>163</v>
      </c>
      <c r="F164" s="71" t="s">
        <v>107</v>
      </c>
      <c r="G164" s="93" t="s">
        <v>169</v>
      </c>
      <c r="H164" s="145"/>
      <c r="I164" s="139"/>
      <c r="J164" s="145"/>
      <c r="K164" s="139"/>
      <c r="L164" s="139"/>
      <c r="M164" s="139"/>
      <c r="N164" s="143"/>
      <c r="O164" s="143"/>
      <c r="P164" s="145"/>
      <c r="Q164" s="139"/>
      <c r="R164" s="145"/>
      <c r="S164" s="139"/>
      <c r="T164" s="145"/>
      <c r="U164" s="139"/>
      <c r="V164" s="138"/>
      <c r="W164" s="138"/>
      <c r="X164" s="138"/>
      <c r="Y164" s="139"/>
      <c r="Z164" s="138"/>
      <c r="AA164" s="139"/>
      <c r="AB164" s="138"/>
      <c r="AC164" s="139"/>
      <c r="AD164" s="138"/>
      <c r="AE164" s="139"/>
      <c r="AF164" s="138"/>
      <c r="AG164" s="139"/>
      <c r="AH164" s="138"/>
      <c r="AI164" s="138"/>
      <c r="AJ164" s="138"/>
      <c r="AK164" s="138"/>
      <c r="AL164" s="138"/>
    </row>
    <row r="165" spans="1:38" x14ac:dyDescent="0.25">
      <c r="A165" s="71"/>
      <c r="B165" s="71"/>
      <c r="E165" s="111"/>
      <c r="F165" s="73" t="s">
        <v>108</v>
      </c>
      <c r="G165" s="98" t="s">
        <v>168</v>
      </c>
      <c r="H165" s="142"/>
      <c r="I165" s="141"/>
      <c r="J165" s="142"/>
      <c r="K165" s="141"/>
      <c r="L165" s="141"/>
      <c r="M165" s="141"/>
      <c r="N165" s="141"/>
      <c r="O165" s="143"/>
      <c r="P165" s="145"/>
      <c r="Q165" s="139"/>
      <c r="R165" s="145"/>
      <c r="S165" s="139"/>
      <c r="T165" s="145"/>
      <c r="U165" s="139"/>
      <c r="V165" s="138"/>
      <c r="W165" s="138"/>
      <c r="X165" s="138"/>
      <c r="Y165" s="139"/>
      <c r="Z165" s="138"/>
      <c r="AA165" s="139"/>
      <c r="AB165" s="138"/>
      <c r="AC165" s="139"/>
      <c r="AD165" s="138"/>
      <c r="AE165" s="139"/>
      <c r="AF165" s="138"/>
      <c r="AG165" s="139"/>
      <c r="AH165" s="138"/>
      <c r="AI165" s="138"/>
      <c r="AJ165" s="138"/>
      <c r="AK165" s="138"/>
      <c r="AL165" s="138"/>
    </row>
    <row r="166" spans="1:38" x14ac:dyDescent="0.25">
      <c r="A166" s="71"/>
      <c r="B166" s="71"/>
      <c r="D166" s="71" t="s">
        <v>106</v>
      </c>
      <c r="F166" s="71" t="s">
        <v>106</v>
      </c>
      <c r="G166" s="93" t="s">
        <v>171</v>
      </c>
      <c r="H166" s="145"/>
      <c r="I166" s="139"/>
      <c r="J166" s="145"/>
      <c r="K166" s="139"/>
      <c r="L166" s="139"/>
      <c r="M166" s="139"/>
      <c r="N166" s="143"/>
      <c r="O166" s="143"/>
      <c r="P166" s="145"/>
      <c r="Q166" s="139"/>
      <c r="R166" s="145"/>
      <c r="S166" s="139"/>
      <c r="T166" s="145"/>
      <c r="U166" s="139"/>
      <c r="V166" s="138"/>
      <c r="W166" s="138"/>
      <c r="X166" s="138"/>
      <c r="Y166" s="139"/>
      <c r="Z166" s="138"/>
      <c r="AA166" s="139"/>
      <c r="AB166" s="138"/>
      <c r="AC166" s="139"/>
      <c r="AD166" s="138"/>
      <c r="AE166" s="139"/>
      <c r="AF166" s="138"/>
      <c r="AG166" s="139"/>
      <c r="AH166" s="138"/>
      <c r="AI166" s="138"/>
      <c r="AJ166" s="138"/>
      <c r="AK166" s="138"/>
      <c r="AL166" s="138"/>
    </row>
    <row r="167" spans="1:38" x14ac:dyDescent="0.25">
      <c r="A167" s="71"/>
      <c r="B167" s="71"/>
      <c r="C167" s="172" t="s">
        <v>160</v>
      </c>
      <c r="D167" s="71" t="s">
        <v>107</v>
      </c>
      <c r="E167" s="79" t="s">
        <v>164</v>
      </c>
      <c r="F167" s="71" t="s">
        <v>107</v>
      </c>
      <c r="G167" s="93" t="s">
        <v>167</v>
      </c>
      <c r="H167" s="145"/>
      <c r="I167" s="139"/>
      <c r="J167" s="145"/>
      <c r="K167" s="139"/>
      <c r="L167" s="139"/>
      <c r="M167" s="139"/>
      <c r="N167" s="143"/>
      <c r="O167" s="143"/>
      <c r="P167" s="145"/>
      <c r="Q167" s="139"/>
      <c r="R167" s="145"/>
      <c r="S167" s="139"/>
      <c r="T167" s="145"/>
      <c r="U167" s="139"/>
      <c r="V167" s="138"/>
      <c r="W167" s="138"/>
      <c r="X167" s="138"/>
      <c r="Y167" s="139"/>
      <c r="Z167" s="138"/>
      <c r="AA167" s="139"/>
      <c r="AB167" s="138"/>
      <c r="AC167" s="139"/>
      <c r="AD167" s="138"/>
      <c r="AE167" s="139"/>
      <c r="AF167" s="138"/>
      <c r="AG167" s="139"/>
      <c r="AH167" s="138"/>
      <c r="AI167" s="138"/>
      <c r="AJ167" s="138"/>
      <c r="AK167" s="138"/>
      <c r="AL167" s="138"/>
    </row>
    <row r="168" spans="1:38" x14ac:dyDescent="0.25">
      <c r="A168" s="71"/>
      <c r="B168" s="71"/>
      <c r="C168" s="110"/>
      <c r="E168" s="111"/>
      <c r="F168" s="73" t="s">
        <v>108</v>
      </c>
      <c r="G168" s="98" t="s">
        <v>166</v>
      </c>
      <c r="H168" s="142"/>
      <c r="I168" s="141"/>
      <c r="J168" s="142"/>
      <c r="K168" s="141"/>
      <c r="L168" s="141"/>
      <c r="M168" s="141"/>
      <c r="N168" s="141"/>
      <c r="O168" s="143"/>
      <c r="P168" s="145"/>
      <c r="Q168" s="139"/>
      <c r="R168" s="145"/>
      <c r="S168" s="139"/>
      <c r="T168" s="145"/>
      <c r="U168" s="139"/>
      <c r="V168" s="138"/>
      <c r="W168" s="138"/>
      <c r="X168" s="138"/>
      <c r="Y168" s="139"/>
      <c r="Z168" s="138"/>
      <c r="AA168" s="139"/>
      <c r="AB168" s="138"/>
      <c r="AC168" s="139"/>
      <c r="AD168" s="138"/>
      <c r="AE168" s="139"/>
      <c r="AF168" s="138"/>
      <c r="AG168" s="139"/>
      <c r="AH168" s="138"/>
      <c r="AI168" s="138"/>
      <c r="AJ168" s="138"/>
      <c r="AK168" s="138"/>
      <c r="AL168" s="138"/>
    </row>
    <row r="169" spans="1:38" x14ac:dyDescent="0.25">
      <c r="A169" s="71"/>
      <c r="B169" s="71"/>
      <c r="D169" s="71" t="s">
        <v>108</v>
      </c>
      <c r="E169" s="79"/>
      <c r="F169" s="71" t="s">
        <v>106</v>
      </c>
      <c r="G169" s="93" t="s">
        <v>163</v>
      </c>
      <c r="H169" s="145"/>
      <c r="I169" s="139"/>
      <c r="J169" s="145"/>
      <c r="K169" s="139"/>
      <c r="L169" s="139"/>
      <c r="M169" s="139"/>
      <c r="N169" s="143"/>
      <c r="O169" s="143"/>
      <c r="P169" s="145"/>
      <c r="Q169" s="139"/>
      <c r="R169" s="145"/>
      <c r="S169" s="139"/>
      <c r="T169" s="145"/>
      <c r="U169" s="139"/>
      <c r="V169" s="138"/>
      <c r="W169" s="138"/>
      <c r="X169" s="138"/>
      <c r="Y169" s="139"/>
      <c r="Z169" s="138"/>
      <c r="AA169" s="139"/>
      <c r="AB169" s="138"/>
      <c r="AC169" s="139"/>
      <c r="AD169" s="138"/>
      <c r="AE169" s="139"/>
      <c r="AF169" s="138"/>
      <c r="AG169" s="139"/>
      <c r="AH169" s="138"/>
      <c r="AI169" s="138"/>
      <c r="AJ169" s="138"/>
      <c r="AK169" s="138"/>
      <c r="AL169" s="138"/>
    </row>
    <row r="170" spans="1:38" x14ac:dyDescent="0.25">
      <c r="A170" s="71"/>
      <c r="B170" s="71"/>
      <c r="E170" s="79" t="s">
        <v>160</v>
      </c>
      <c r="F170" s="71" t="s">
        <v>107</v>
      </c>
      <c r="G170" s="93" t="s">
        <v>164</v>
      </c>
      <c r="H170" s="145"/>
      <c r="I170" s="139"/>
      <c r="J170" s="145"/>
      <c r="K170" s="139"/>
      <c r="L170" s="139"/>
      <c r="M170" s="139"/>
      <c r="N170" s="143"/>
      <c r="O170" s="143"/>
      <c r="P170" s="145"/>
      <c r="Q170" s="139"/>
      <c r="R170" s="145"/>
      <c r="S170" s="139"/>
      <c r="T170" s="145"/>
      <c r="U170" s="139"/>
      <c r="V170" s="138"/>
      <c r="W170" s="138"/>
      <c r="X170" s="138"/>
      <c r="Y170" s="139"/>
      <c r="Z170" s="138"/>
      <c r="AA170" s="139"/>
      <c r="AB170" s="138"/>
      <c r="AC170" s="139"/>
      <c r="AD170" s="138"/>
      <c r="AE170" s="139"/>
      <c r="AF170" s="138"/>
      <c r="AG170" s="139"/>
      <c r="AH170" s="138"/>
      <c r="AI170" s="138"/>
      <c r="AJ170" s="138"/>
      <c r="AK170" s="138"/>
      <c r="AL170" s="138"/>
    </row>
    <row r="171" spans="1:38" x14ac:dyDescent="0.25">
      <c r="A171" s="71"/>
      <c r="B171" s="71"/>
      <c r="C171" s="72"/>
      <c r="D171" s="72"/>
      <c r="E171" s="111"/>
      <c r="F171" s="73" t="s">
        <v>108</v>
      </c>
      <c r="G171" s="98" t="s">
        <v>160</v>
      </c>
      <c r="H171" s="142"/>
      <c r="I171" s="141"/>
      <c r="J171" s="142"/>
      <c r="K171" s="141"/>
      <c r="L171" s="141"/>
      <c r="M171" s="141"/>
      <c r="N171" s="141"/>
      <c r="O171" s="143"/>
      <c r="P171" s="145"/>
      <c r="Q171" s="139"/>
      <c r="R171" s="145"/>
      <c r="S171" s="139"/>
      <c r="T171" s="145"/>
      <c r="U171" s="139"/>
      <c r="V171" s="138"/>
      <c r="W171" s="138"/>
      <c r="X171" s="138"/>
      <c r="Y171" s="139"/>
      <c r="Z171" s="138"/>
      <c r="AA171" s="139"/>
      <c r="AB171" s="138"/>
      <c r="AC171" s="139"/>
      <c r="AD171" s="138"/>
      <c r="AE171" s="139"/>
      <c r="AF171" s="138"/>
      <c r="AG171" s="139"/>
      <c r="AH171" s="138"/>
      <c r="AI171" s="138"/>
      <c r="AJ171" s="138"/>
      <c r="AK171" s="138"/>
      <c r="AL171" s="138"/>
    </row>
    <row r="172" spans="1:38" x14ac:dyDescent="0.25">
      <c r="A172" s="71"/>
      <c r="B172" s="71"/>
      <c r="C172" s="71"/>
      <c r="M172" s="79"/>
      <c r="N172" s="79"/>
      <c r="P172" s="71"/>
      <c r="R172" s="71"/>
      <c r="S172" s="79"/>
      <c r="T172" s="71"/>
    </row>
    <row r="173" spans="1:38" x14ac:dyDescent="0.25">
      <c r="A173" s="71"/>
      <c r="B173" s="71"/>
      <c r="C173" s="71"/>
      <c r="D173" s="71"/>
      <c r="E173" s="79"/>
      <c r="F173" s="71"/>
      <c r="G173" s="79"/>
      <c r="H173" s="71"/>
      <c r="I173" s="79"/>
      <c r="J173" s="71"/>
      <c r="K173" s="79"/>
      <c r="L173" s="79"/>
      <c r="M173" s="79"/>
      <c r="N173" s="79"/>
      <c r="P173" s="71"/>
      <c r="R173" s="71"/>
      <c r="S173" s="79"/>
      <c r="T173" s="71"/>
    </row>
    <row r="174" spans="1:38" x14ac:dyDescent="0.25">
      <c r="B174" s="107" t="s">
        <v>120</v>
      </c>
      <c r="C174" s="108"/>
      <c r="D174" s="108"/>
      <c r="E174" s="153"/>
      <c r="H174" s="71"/>
      <c r="I174" s="79"/>
      <c r="J174" s="71"/>
      <c r="K174" s="79"/>
      <c r="L174" s="79"/>
      <c r="M174" s="79"/>
      <c r="N174" s="79"/>
    </row>
    <row r="175" spans="1:38" outlineLevel="1" x14ac:dyDescent="0.25">
      <c r="B175" s="83" t="s">
        <v>219</v>
      </c>
      <c r="C175" s="151" t="s">
        <v>45</v>
      </c>
      <c r="D175" s="152" t="s">
        <v>119</v>
      </c>
      <c r="E175" s="153" t="s">
        <v>221</v>
      </c>
      <c r="H175" s="71"/>
      <c r="I175" s="79"/>
      <c r="J175" s="71"/>
      <c r="K175" s="79"/>
      <c r="L175" s="79"/>
      <c r="M175" s="79"/>
      <c r="N175" s="79" t="s">
        <v>246</v>
      </c>
      <c r="Q175" s="79" t="s">
        <v>45</v>
      </c>
    </row>
    <row r="176" spans="1:38" outlineLevel="1" x14ac:dyDescent="0.25">
      <c r="B176" s="167">
        <v>1</v>
      </c>
      <c r="C176" s="168" t="s">
        <v>160</v>
      </c>
      <c r="D176" s="24" t="s">
        <v>118</v>
      </c>
      <c r="E176" s="4">
        <v>1</v>
      </c>
      <c r="G176" s="2" t="s">
        <v>244</v>
      </c>
      <c r="H176" s="71">
        <v>0</v>
      </c>
      <c r="I176" s="2">
        <v>0</v>
      </c>
      <c r="J176">
        <v>0</v>
      </c>
      <c r="K176" s="2">
        <v>0</v>
      </c>
      <c r="L176" s="2">
        <v>0</v>
      </c>
      <c r="M176" s="2" t="s">
        <v>243</v>
      </c>
      <c r="N176" s="2" t="str">
        <f>H176&amp;" "&amp;I176&amp;" "&amp;J176&amp;" "&amp;K176&amp;" "&amp;L176&amp;M176</f>
        <v>0 0 0 0 0;</v>
      </c>
      <c r="P176" t="s">
        <v>247</v>
      </c>
      <c r="Q176" s="2" t="str">
        <f>$Q$175&amp;" "&amp;B176</f>
        <v>State 1</v>
      </c>
      <c r="R176" s="1" t="s">
        <v>81</v>
      </c>
      <c r="S176" s="2" t="str">
        <f>"["&amp;H176&amp;" "&amp;I176&amp;" "&amp;J176&amp;" "&amp;K176&amp;" "&amp;L176&amp;"]"</f>
        <v>[0 0 0 0 0]</v>
      </c>
    </row>
    <row r="177" spans="2:19" outlineLevel="1" x14ac:dyDescent="0.25">
      <c r="B177" s="167">
        <v>2</v>
      </c>
      <c r="C177" s="168" t="s">
        <v>164</v>
      </c>
      <c r="D177" s="24" t="s">
        <v>118</v>
      </c>
      <c r="E177" s="4">
        <v>2</v>
      </c>
      <c r="H177" s="71">
        <v>0</v>
      </c>
      <c r="I177" s="2">
        <v>0</v>
      </c>
      <c r="J177">
        <v>0</v>
      </c>
      <c r="K177" s="2">
        <v>0</v>
      </c>
      <c r="L177" s="2">
        <v>1</v>
      </c>
      <c r="M177" s="2" t="s">
        <v>243</v>
      </c>
      <c r="N177" s="2" t="str">
        <f t="shared" ref="N177:N230" si="1">H177&amp;" "&amp;I177&amp;" "&amp;J177&amp;" "&amp;K177&amp;" "&amp;L177&amp;M177</f>
        <v>0 0 0 0 1;</v>
      </c>
      <c r="P177" t="s">
        <v>247</v>
      </c>
      <c r="Q177" s="2" t="str">
        <f t="shared" ref="Q177:Q230" si="2">$Q$175&amp;" "&amp;B177</f>
        <v>State 2</v>
      </c>
      <c r="R177" s="1" t="s">
        <v>81</v>
      </c>
      <c r="S177" s="2" t="str">
        <f t="shared" ref="S177:S230" si="3">"["&amp;H177&amp;" "&amp;I177&amp;" "&amp;J177&amp;" "&amp;K177&amp;" "&amp;L177&amp;"]"</f>
        <v>[0 0 0 0 1]</v>
      </c>
    </row>
    <row r="178" spans="2:19" outlineLevel="1" x14ac:dyDescent="0.25">
      <c r="B178" s="167">
        <v>3</v>
      </c>
      <c r="C178" s="168" t="s">
        <v>163</v>
      </c>
      <c r="D178" s="24" t="s">
        <v>118</v>
      </c>
      <c r="E178" s="4">
        <v>2</v>
      </c>
      <c r="H178" s="71">
        <v>0</v>
      </c>
      <c r="I178" s="2">
        <v>0</v>
      </c>
      <c r="J178">
        <v>1</v>
      </c>
      <c r="K178" s="2">
        <v>0</v>
      </c>
      <c r="L178" s="2">
        <v>0</v>
      </c>
      <c r="M178" s="2" t="s">
        <v>243</v>
      </c>
      <c r="N178" s="2" t="str">
        <f t="shared" si="1"/>
        <v>0 0 1 0 0;</v>
      </c>
      <c r="P178" t="s">
        <v>247</v>
      </c>
      <c r="Q178" s="2" t="str">
        <f t="shared" si="2"/>
        <v>State 3</v>
      </c>
      <c r="R178" s="1" t="s">
        <v>81</v>
      </c>
      <c r="S178" s="2" t="str">
        <f t="shared" si="3"/>
        <v>[0 0 1 0 0]</v>
      </c>
    </row>
    <row r="179" spans="2:19" outlineLevel="1" x14ac:dyDescent="0.25">
      <c r="B179" s="169">
        <v>4</v>
      </c>
      <c r="C179" s="170" t="s">
        <v>170</v>
      </c>
      <c r="D179" s="24" t="s">
        <v>118</v>
      </c>
      <c r="E179" s="4">
        <v>2</v>
      </c>
      <c r="H179" s="71">
        <v>0</v>
      </c>
      <c r="I179" s="2">
        <v>1</v>
      </c>
      <c r="J179">
        <v>1</v>
      </c>
      <c r="K179" s="2">
        <v>0</v>
      </c>
      <c r="L179" s="2">
        <v>0</v>
      </c>
      <c r="M179" s="2" t="s">
        <v>243</v>
      </c>
      <c r="N179" s="2" t="str">
        <f t="shared" si="1"/>
        <v>0 1 1 0 0;</v>
      </c>
      <c r="P179" t="s">
        <v>247</v>
      </c>
      <c r="Q179" s="2" t="str">
        <f t="shared" si="2"/>
        <v>State 4</v>
      </c>
      <c r="R179" s="1" t="s">
        <v>81</v>
      </c>
      <c r="S179" s="2" t="str">
        <f t="shared" si="3"/>
        <v>[0 1 1 0 0]</v>
      </c>
    </row>
    <row r="180" spans="2:19" outlineLevel="1" x14ac:dyDescent="0.25">
      <c r="B180" s="169">
        <v>5</v>
      </c>
      <c r="C180" s="170" t="s">
        <v>169</v>
      </c>
      <c r="D180" s="24" t="s">
        <v>118</v>
      </c>
      <c r="E180" s="4">
        <v>3</v>
      </c>
      <c r="H180" s="71">
        <v>0</v>
      </c>
      <c r="I180" s="2">
        <v>1</v>
      </c>
      <c r="J180">
        <v>0</v>
      </c>
      <c r="K180" s="2">
        <v>0</v>
      </c>
      <c r="L180" s="2">
        <v>1</v>
      </c>
      <c r="M180" s="2" t="s">
        <v>243</v>
      </c>
      <c r="N180" s="2" t="str">
        <f t="shared" si="1"/>
        <v>0 1 0 0 1;</v>
      </c>
      <c r="P180" t="s">
        <v>247</v>
      </c>
      <c r="Q180" s="2" t="str">
        <f t="shared" si="2"/>
        <v>State 5</v>
      </c>
      <c r="R180" s="1" t="s">
        <v>81</v>
      </c>
      <c r="S180" s="2" t="str">
        <f t="shared" si="3"/>
        <v>[0 1 0 0 1]</v>
      </c>
    </row>
    <row r="181" spans="2:19" outlineLevel="1" x14ac:dyDescent="0.25">
      <c r="B181" s="167">
        <v>6</v>
      </c>
      <c r="C181" s="168" t="s">
        <v>168</v>
      </c>
      <c r="D181" s="24" t="s">
        <v>118</v>
      </c>
      <c r="E181" s="4">
        <v>3</v>
      </c>
      <c r="H181" s="71">
        <v>0</v>
      </c>
      <c r="I181" s="2">
        <v>1</v>
      </c>
      <c r="J181">
        <v>0</v>
      </c>
      <c r="K181" s="2">
        <v>0</v>
      </c>
      <c r="L181" s="2">
        <v>0</v>
      </c>
      <c r="M181" s="2" t="s">
        <v>243</v>
      </c>
      <c r="N181" s="2" t="str">
        <f t="shared" si="1"/>
        <v>0 1 0 0 0;</v>
      </c>
      <c r="P181" t="s">
        <v>247</v>
      </c>
      <c r="Q181" s="2" t="str">
        <f t="shared" si="2"/>
        <v>State 6</v>
      </c>
      <c r="R181" s="1" t="s">
        <v>81</v>
      </c>
      <c r="S181" s="2" t="str">
        <f t="shared" si="3"/>
        <v>[0 1 0 0 0]</v>
      </c>
    </row>
    <row r="182" spans="2:19" outlineLevel="1" x14ac:dyDescent="0.25">
      <c r="B182" s="169">
        <v>7</v>
      </c>
      <c r="C182" s="170" t="s">
        <v>171</v>
      </c>
      <c r="D182" s="24" t="s">
        <v>118</v>
      </c>
      <c r="E182" s="4">
        <v>3</v>
      </c>
      <c r="H182" s="71">
        <v>0</v>
      </c>
      <c r="I182" s="2">
        <v>0</v>
      </c>
      <c r="J182">
        <v>1</v>
      </c>
      <c r="K182" s="2">
        <v>1</v>
      </c>
      <c r="L182" s="2">
        <v>0</v>
      </c>
      <c r="M182" s="2" t="s">
        <v>243</v>
      </c>
      <c r="N182" s="2" t="str">
        <f t="shared" si="1"/>
        <v>0 0 1 1 0;</v>
      </c>
      <c r="P182" t="s">
        <v>247</v>
      </c>
      <c r="Q182" s="2" t="str">
        <f t="shared" si="2"/>
        <v>State 7</v>
      </c>
      <c r="R182" s="1" t="s">
        <v>81</v>
      </c>
      <c r="S182" s="2" t="str">
        <f t="shared" si="3"/>
        <v>[0 0 1 1 0]</v>
      </c>
    </row>
    <row r="183" spans="2:19" outlineLevel="1" x14ac:dyDescent="0.25">
      <c r="B183" s="169">
        <v>8</v>
      </c>
      <c r="C183" s="170" t="s">
        <v>167</v>
      </c>
      <c r="D183" s="24" t="s">
        <v>118</v>
      </c>
      <c r="E183" s="4">
        <v>3</v>
      </c>
      <c r="H183" s="71">
        <v>0</v>
      </c>
      <c r="I183" s="2">
        <v>0</v>
      </c>
      <c r="J183">
        <v>0</v>
      </c>
      <c r="K183" s="2">
        <v>1</v>
      </c>
      <c r="L183" s="2">
        <v>1</v>
      </c>
      <c r="M183" s="2" t="s">
        <v>243</v>
      </c>
      <c r="N183" s="2" t="str">
        <f t="shared" si="1"/>
        <v>0 0 0 1 1;</v>
      </c>
      <c r="P183" t="s">
        <v>247</v>
      </c>
      <c r="Q183" s="2" t="str">
        <f t="shared" si="2"/>
        <v>State 8</v>
      </c>
      <c r="R183" s="1" t="s">
        <v>81</v>
      </c>
      <c r="S183" s="2" t="str">
        <f t="shared" si="3"/>
        <v>[0 0 0 1 1]</v>
      </c>
    </row>
    <row r="184" spans="2:19" outlineLevel="1" x14ac:dyDescent="0.25">
      <c r="B184" s="167">
        <v>9</v>
      </c>
      <c r="C184" s="168" t="s">
        <v>166</v>
      </c>
      <c r="D184" s="24" t="s">
        <v>118</v>
      </c>
      <c r="E184" s="4">
        <v>3</v>
      </c>
      <c r="H184" s="71">
        <v>0</v>
      </c>
      <c r="I184" s="2">
        <v>0</v>
      </c>
      <c r="J184">
        <v>0</v>
      </c>
      <c r="K184" s="2">
        <v>1</v>
      </c>
      <c r="L184" s="2">
        <v>0</v>
      </c>
      <c r="M184" s="2" t="s">
        <v>243</v>
      </c>
      <c r="N184" s="2" t="str">
        <f t="shared" si="1"/>
        <v>0 0 0 1 0;</v>
      </c>
      <c r="P184" t="s">
        <v>247</v>
      </c>
      <c r="Q184" s="2" t="str">
        <f t="shared" si="2"/>
        <v>State 9</v>
      </c>
      <c r="R184" s="1" t="s">
        <v>81</v>
      </c>
      <c r="S184" s="2" t="str">
        <f t="shared" si="3"/>
        <v>[0 0 0 1 0]</v>
      </c>
    </row>
    <row r="185" spans="2:19" outlineLevel="1" x14ac:dyDescent="0.25">
      <c r="B185" s="169">
        <v>10</v>
      </c>
      <c r="C185" s="170" t="s">
        <v>174</v>
      </c>
      <c r="D185" s="24" t="s">
        <v>118</v>
      </c>
      <c r="E185" s="4">
        <v>4</v>
      </c>
      <c r="H185" s="71">
        <v>1</v>
      </c>
      <c r="I185" s="2">
        <v>1</v>
      </c>
      <c r="J185">
        <v>1</v>
      </c>
      <c r="K185" s="2">
        <v>0</v>
      </c>
      <c r="L185" s="2">
        <v>0</v>
      </c>
      <c r="M185" s="2" t="s">
        <v>243</v>
      </c>
      <c r="N185" s="2" t="str">
        <f t="shared" si="1"/>
        <v>1 1 1 0 0;</v>
      </c>
      <c r="P185" t="s">
        <v>247</v>
      </c>
      <c r="Q185" s="2" t="str">
        <f t="shared" si="2"/>
        <v>State 10</v>
      </c>
      <c r="R185" s="1" t="s">
        <v>81</v>
      </c>
      <c r="S185" s="2" t="str">
        <f t="shared" si="3"/>
        <v>[1 1 1 0 0]</v>
      </c>
    </row>
    <row r="186" spans="2:19" outlineLevel="1" x14ac:dyDescent="0.25">
      <c r="B186" s="169">
        <v>11</v>
      </c>
      <c r="C186" s="170" t="s">
        <v>173</v>
      </c>
      <c r="D186" s="24" t="s">
        <v>118</v>
      </c>
      <c r="E186" s="4">
        <v>4</v>
      </c>
      <c r="H186" s="71">
        <v>1</v>
      </c>
      <c r="I186" s="2">
        <v>1</v>
      </c>
      <c r="J186">
        <v>0</v>
      </c>
      <c r="K186" s="2">
        <v>0</v>
      </c>
      <c r="L186" s="2">
        <v>1</v>
      </c>
      <c r="M186" s="2" t="s">
        <v>243</v>
      </c>
      <c r="N186" s="2" t="str">
        <f t="shared" si="1"/>
        <v>1 1 0 0 1;</v>
      </c>
      <c r="P186" t="s">
        <v>247</v>
      </c>
      <c r="Q186" s="2" t="str">
        <f t="shared" si="2"/>
        <v>State 11</v>
      </c>
      <c r="R186" s="1" t="s">
        <v>81</v>
      </c>
      <c r="S186" s="2" t="str">
        <f t="shared" si="3"/>
        <v>[1 1 0 0 1]</v>
      </c>
    </row>
    <row r="187" spans="2:19" outlineLevel="1" x14ac:dyDescent="0.25">
      <c r="B187" s="169">
        <v>12</v>
      </c>
      <c r="C187" s="170" t="s">
        <v>172</v>
      </c>
      <c r="D187" s="24" t="s">
        <v>118</v>
      </c>
      <c r="E187" s="4">
        <v>4</v>
      </c>
      <c r="H187" s="71">
        <v>1</v>
      </c>
      <c r="I187" s="2">
        <v>1</v>
      </c>
      <c r="J187">
        <v>0</v>
      </c>
      <c r="K187" s="2">
        <v>0</v>
      </c>
      <c r="L187" s="2">
        <v>0</v>
      </c>
      <c r="M187" s="2" t="s">
        <v>243</v>
      </c>
      <c r="N187" s="2" t="str">
        <f t="shared" si="1"/>
        <v>1 1 0 0 0;</v>
      </c>
      <c r="P187" t="s">
        <v>247</v>
      </c>
      <c r="Q187" s="2" t="str">
        <f t="shared" si="2"/>
        <v>State 12</v>
      </c>
      <c r="R187" s="1" t="s">
        <v>81</v>
      </c>
      <c r="S187" s="2" t="str">
        <f t="shared" si="3"/>
        <v>[1 1 0 0 0]</v>
      </c>
    </row>
    <row r="188" spans="2:19" outlineLevel="1" x14ac:dyDescent="0.25">
      <c r="B188" s="169">
        <v>13</v>
      </c>
      <c r="C188" s="170" t="s">
        <v>177</v>
      </c>
      <c r="D188" s="24" t="s">
        <v>118</v>
      </c>
      <c r="E188" s="4">
        <v>4</v>
      </c>
      <c r="H188" s="71">
        <v>1</v>
      </c>
      <c r="I188" s="2">
        <v>0</v>
      </c>
      <c r="J188">
        <v>1</v>
      </c>
      <c r="K188" s="2">
        <v>1</v>
      </c>
      <c r="L188" s="2">
        <v>0</v>
      </c>
      <c r="M188" s="2" t="s">
        <v>243</v>
      </c>
      <c r="N188" s="2" t="str">
        <f t="shared" si="1"/>
        <v>1 0 1 1 0;</v>
      </c>
      <c r="P188" t="s">
        <v>247</v>
      </c>
      <c r="Q188" s="2" t="str">
        <f t="shared" si="2"/>
        <v>State 13</v>
      </c>
      <c r="R188" s="1" t="s">
        <v>81</v>
      </c>
      <c r="S188" s="2" t="str">
        <f t="shared" si="3"/>
        <v>[1 0 1 1 0]</v>
      </c>
    </row>
    <row r="189" spans="2:19" outlineLevel="1" x14ac:dyDescent="0.25">
      <c r="B189" s="169">
        <v>14</v>
      </c>
      <c r="C189" s="171" t="s">
        <v>176</v>
      </c>
      <c r="D189" s="24" t="s">
        <v>118</v>
      </c>
      <c r="E189" s="4">
        <v>4</v>
      </c>
      <c r="H189">
        <v>1</v>
      </c>
      <c r="I189" s="2">
        <v>0</v>
      </c>
      <c r="J189">
        <v>0</v>
      </c>
      <c r="K189" s="2">
        <v>1</v>
      </c>
      <c r="L189" s="2">
        <v>1</v>
      </c>
      <c r="M189" s="2" t="s">
        <v>243</v>
      </c>
      <c r="N189" s="2" t="str">
        <f t="shared" si="1"/>
        <v>1 0 0 1 1;</v>
      </c>
      <c r="P189" t="s">
        <v>247</v>
      </c>
      <c r="Q189" s="2" t="str">
        <f t="shared" si="2"/>
        <v>State 14</v>
      </c>
      <c r="R189" s="1" t="s">
        <v>81</v>
      </c>
      <c r="S189" s="2" t="str">
        <f t="shared" si="3"/>
        <v>[1 0 0 1 1]</v>
      </c>
    </row>
    <row r="190" spans="2:19" outlineLevel="1" x14ac:dyDescent="0.25">
      <c r="B190" s="169">
        <v>15</v>
      </c>
      <c r="C190" s="170" t="s">
        <v>175</v>
      </c>
      <c r="D190" s="24" t="s">
        <v>118</v>
      </c>
      <c r="E190" s="4">
        <v>4</v>
      </c>
      <c r="H190" s="71">
        <v>1</v>
      </c>
      <c r="I190" s="2">
        <v>0</v>
      </c>
      <c r="J190">
        <v>0</v>
      </c>
      <c r="K190" s="2">
        <v>1</v>
      </c>
      <c r="L190" s="2">
        <v>0</v>
      </c>
      <c r="M190" s="2" t="s">
        <v>243</v>
      </c>
      <c r="N190" s="2" t="str">
        <f t="shared" si="1"/>
        <v>1 0 0 1 0;</v>
      </c>
      <c r="P190" t="s">
        <v>247</v>
      </c>
      <c r="Q190" s="2" t="str">
        <f t="shared" si="2"/>
        <v>State 15</v>
      </c>
      <c r="R190" s="1" t="s">
        <v>81</v>
      </c>
      <c r="S190" s="2" t="str">
        <f t="shared" si="3"/>
        <v>[1 0 0 1 0]</v>
      </c>
    </row>
    <row r="191" spans="2:19" outlineLevel="1" x14ac:dyDescent="0.25">
      <c r="B191" s="169">
        <v>16</v>
      </c>
      <c r="C191" s="170" t="s">
        <v>180</v>
      </c>
      <c r="D191" s="24" t="s">
        <v>118</v>
      </c>
      <c r="E191" s="4">
        <v>4</v>
      </c>
      <c r="H191" s="71">
        <v>1</v>
      </c>
      <c r="I191" s="2">
        <v>0</v>
      </c>
      <c r="J191">
        <v>1</v>
      </c>
      <c r="K191" s="2">
        <v>0</v>
      </c>
      <c r="L191" s="2">
        <v>0</v>
      </c>
      <c r="M191" s="2" t="s">
        <v>243</v>
      </c>
      <c r="N191" s="2" t="str">
        <f t="shared" si="1"/>
        <v>1 0 1 0 0;</v>
      </c>
      <c r="P191" t="s">
        <v>247</v>
      </c>
      <c r="Q191" s="2" t="str">
        <f t="shared" si="2"/>
        <v>State 16</v>
      </c>
      <c r="R191" s="1" t="s">
        <v>81</v>
      </c>
      <c r="S191" s="2" t="str">
        <f t="shared" si="3"/>
        <v>[1 0 1 0 0]</v>
      </c>
    </row>
    <row r="192" spans="2:19" outlineLevel="1" x14ac:dyDescent="0.25">
      <c r="B192" s="169">
        <v>17</v>
      </c>
      <c r="C192" s="170" t="s">
        <v>179</v>
      </c>
      <c r="D192" s="24" t="s">
        <v>118</v>
      </c>
      <c r="E192" s="4">
        <v>4</v>
      </c>
      <c r="H192" s="71">
        <v>1</v>
      </c>
      <c r="I192" s="2">
        <v>0</v>
      </c>
      <c r="J192">
        <v>0</v>
      </c>
      <c r="K192" s="2">
        <v>0</v>
      </c>
      <c r="L192" s="2">
        <v>1</v>
      </c>
      <c r="M192" s="2" t="s">
        <v>243</v>
      </c>
      <c r="N192" s="2" t="str">
        <f t="shared" si="1"/>
        <v>1 0 0 0 1;</v>
      </c>
      <c r="P192" t="s">
        <v>247</v>
      </c>
      <c r="Q192" s="2" t="str">
        <f t="shared" si="2"/>
        <v>State 17</v>
      </c>
      <c r="R192" s="1" t="s">
        <v>81</v>
      </c>
      <c r="S192" s="2" t="str">
        <f t="shared" si="3"/>
        <v>[1 0 0 0 1]</v>
      </c>
    </row>
    <row r="193" spans="2:19" outlineLevel="1" x14ac:dyDescent="0.25">
      <c r="B193" s="167">
        <v>18</v>
      </c>
      <c r="C193" s="168" t="s">
        <v>178</v>
      </c>
      <c r="D193" s="24" t="s">
        <v>118</v>
      </c>
      <c r="E193" s="4">
        <v>4</v>
      </c>
      <c r="H193" s="71">
        <v>1</v>
      </c>
      <c r="I193" s="2">
        <v>0</v>
      </c>
      <c r="J193">
        <v>0</v>
      </c>
      <c r="K193" s="2">
        <v>0</v>
      </c>
      <c r="L193" s="2">
        <v>0</v>
      </c>
      <c r="M193" s="2" t="s">
        <v>243</v>
      </c>
      <c r="N193" s="2" t="str">
        <f t="shared" si="1"/>
        <v>1 0 0 0 0;</v>
      </c>
      <c r="P193" t="s">
        <v>247</v>
      </c>
      <c r="Q193" s="2" t="str">
        <f t="shared" si="2"/>
        <v>State 18</v>
      </c>
      <c r="R193" s="1" t="s">
        <v>81</v>
      </c>
      <c r="S193" s="2" t="str">
        <f t="shared" si="3"/>
        <v>[1 0 0 0 0]</v>
      </c>
    </row>
    <row r="194" spans="2:19" outlineLevel="1" x14ac:dyDescent="0.25">
      <c r="B194" s="169">
        <v>19</v>
      </c>
      <c r="C194" s="170" t="s">
        <v>182</v>
      </c>
      <c r="D194" s="24" t="s">
        <v>118</v>
      </c>
      <c r="E194" s="4">
        <v>4</v>
      </c>
      <c r="H194" s="71">
        <v>0</v>
      </c>
      <c r="I194" s="2">
        <v>1</v>
      </c>
      <c r="J194">
        <v>2</v>
      </c>
      <c r="K194" s="2">
        <v>0</v>
      </c>
      <c r="L194" s="2">
        <v>0</v>
      </c>
      <c r="M194" s="2" t="s">
        <v>243</v>
      </c>
      <c r="N194" s="2" t="str">
        <f t="shared" si="1"/>
        <v>0 1 2 0 0;</v>
      </c>
      <c r="P194" t="s">
        <v>247</v>
      </c>
      <c r="Q194" s="2" t="str">
        <f t="shared" si="2"/>
        <v>State 19</v>
      </c>
      <c r="R194" s="1" t="s">
        <v>81</v>
      </c>
      <c r="S194" s="2" t="str">
        <f t="shared" si="3"/>
        <v>[0 1 2 0 0]</v>
      </c>
    </row>
    <row r="195" spans="2:19" outlineLevel="1" x14ac:dyDescent="0.25">
      <c r="B195" s="169">
        <v>20</v>
      </c>
      <c r="C195" s="170" t="s">
        <v>181</v>
      </c>
      <c r="D195" s="24" t="s">
        <v>118</v>
      </c>
      <c r="E195" s="4">
        <v>4</v>
      </c>
      <c r="H195" s="71">
        <v>0</v>
      </c>
      <c r="I195" s="2">
        <v>1</v>
      </c>
      <c r="J195">
        <v>1</v>
      </c>
      <c r="K195" s="2">
        <v>0</v>
      </c>
      <c r="L195" s="2">
        <v>1</v>
      </c>
      <c r="M195" s="2" t="s">
        <v>243</v>
      </c>
      <c r="N195" s="2" t="str">
        <f t="shared" si="1"/>
        <v>0 1 1 0 1;</v>
      </c>
      <c r="P195" t="s">
        <v>247</v>
      </c>
      <c r="Q195" s="2" t="str">
        <f t="shared" si="2"/>
        <v>State 20</v>
      </c>
      <c r="R195" s="1" t="s">
        <v>81</v>
      </c>
      <c r="S195" s="2" t="str">
        <f t="shared" si="3"/>
        <v>[0 1 1 0 1]</v>
      </c>
    </row>
    <row r="196" spans="2:19" outlineLevel="1" x14ac:dyDescent="0.25">
      <c r="B196" s="169">
        <v>21</v>
      </c>
      <c r="C196" s="170" t="s">
        <v>184</v>
      </c>
      <c r="D196" s="24" t="s">
        <v>118</v>
      </c>
      <c r="E196" s="4">
        <v>4</v>
      </c>
      <c r="H196" s="71">
        <v>0</v>
      </c>
      <c r="I196" s="2">
        <v>0</v>
      </c>
      <c r="J196">
        <v>2</v>
      </c>
      <c r="K196" s="2">
        <v>1</v>
      </c>
      <c r="L196" s="2">
        <v>0</v>
      </c>
      <c r="M196" s="2" t="s">
        <v>243</v>
      </c>
      <c r="N196" s="2" t="str">
        <f t="shared" si="1"/>
        <v>0 0 2 1 0;</v>
      </c>
      <c r="P196" t="s">
        <v>247</v>
      </c>
      <c r="Q196" s="2" t="str">
        <f t="shared" si="2"/>
        <v>State 21</v>
      </c>
      <c r="R196" s="1" t="s">
        <v>81</v>
      </c>
      <c r="S196" s="2" t="str">
        <f t="shared" si="3"/>
        <v>[0 0 2 1 0]</v>
      </c>
    </row>
    <row r="197" spans="2:19" outlineLevel="1" x14ac:dyDescent="0.25">
      <c r="B197" s="169">
        <v>22</v>
      </c>
      <c r="C197" s="170" t="s">
        <v>183</v>
      </c>
      <c r="D197" s="24" t="s">
        <v>118</v>
      </c>
      <c r="E197" s="4">
        <v>4</v>
      </c>
      <c r="H197" s="71">
        <v>0</v>
      </c>
      <c r="I197" s="2">
        <v>0</v>
      </c>
      <c r="J197">
        <v>1</v>
      </c>
      <c r="K197" s="2">
        <v>1</v>
      </c>
      <c r="L197" s="2">
        <v>1</v>
      </c>
      <c r="M197" s="2" t="s">
        <v>243</v>
      </c>
      <c r="N197" s="2" t="str">
        <f t="shared" si="1"/>
        <v>0 0 1 1 1;</v>
      </c>
      <c r="P197" t="s">
        <v>247</v>
      </c>
      <c r="Q197" s="2" t="str">
        <f t="shared" si="2"/>
        <v>State 22</v>
      </c>
      <c r="R197" s="1" t="s">
        <v>81</v>
      </c>
      <c r="S197" s="2" t="str">
        <f t="shared" si="3"/>
        <v>[0 0 1 1 1]</v>
      </c>
    </row>
    <row r="198" spans="2:19" outlineLevel="1" x14ac:dyDescent="0.25">
      <c r="B198" s="169">
        <v>23</v>
      </c>
      <c r="C198" s="170" t="s">
        <v>186</v>
      </c>
      <c r="D198" s="24" t="s">
        <v>118</v>
      </c>
      <c r="E198" s="4">
        <v>4</v>
      </c>
      <c r="H198" s="71">
        <v>0</v>
      </c>
      <c r="I198" s="2">
        <v>0</v>
      </c>
      <c r="J198">
        <v>2</v>
      </c>
      <c r="K198" s="2">
        <v>0</v>
      </c>
      <c r="L198" s="2">
        <v>0</v>
      </c>
      <c r="M198" s="2" t="s">
        <v>243</v>
      </c>
      <c r="N198" s="2" t="str">
        <f t="shared" si="1"/>
        <v>0 0 2 0 0;</v>
      </c>
      <c r="P198" t="s">
        <v>247</v>
      </c>
      <c r="Q198" s="2" t="str">
        <f t="shared" si="2"/>
        <v>State 23</v>
      </c>
      <c r="R198" s="1" t="s">
        <v>81</v>
      </c>
      <c r="S198" s="2" t="str">
        <f t="shared" si="3"/>
        <v>[0 0 2 0 0]</v>
      </c>
    </row>
    <row r="199" spans="2:19" outlineLevel="1" x14ac:dyDescent="0.25">
      <c r="B199" s="169">
        <v>24</v>
      </c>
      <c r="C199" s="170" t="s">
        <v>185</v>
      </c>
      <c r="D199" s="24" t="s">
        <v>118</v>
      </c>
      <c r="E199" s="4">
        <v>4</v>
      </c>
      <c r="H199" s="71">
        <v>0</v>
      </c>
      <c r="I199" s="2">
        <v>0</v>
      </c>
      <c r="J199">
        <v>1</v>
      </c>
      <c r="K199" s="2">
        <v>0</v>
      </c>
      <c r="L199" s="2">
        <v>1</v>
      </c>
      <c r="M199" s="2" t="s">
        <v>243</v>
      </c>
      <c r="N199" s="2" t="str">
        <f t="shared" si="1"/>
        <v>0 0 1 0 1;</v>
      </c>
      <c r="P199" t="s">
        <v>247</v>
      </c>
      <c r="Q199" s="2" t="str">
        <f t="shared" si="2"/>
        <v>State 24</v>
      </c>
      <c r="R199" s="1" t="s">
        <v>81</v>
      </c>
      <c r="S199" s="2" t="str">
        <f t="shared" si="3"/>
        <v>[0 0 1 0 1]</v>
      </c>
    </row>
    <row r="200" spans="2:19" hidden="1" outlineLevel="1" x14ac:dyDescent="0.25">
      <c r="B200" s="77">
        <v>25</v>
      </c>
      <c r="C200" s="71" t="s">
        <v>196</v>
      </c>
      <c r="D200" t="s">
        <v>218</v>
      </c>
      <c r="E200" s="4">
        <v>9</v>
      </c>
      <c r="H200" s="71">
        <v>1</v>
      </c>
      <c r="I200" s="2">
        <v>2</v>
      </c>
      <c r="J200">
        <v>1</v>
      </c>
      <c r="K200" s="2">
        <v>0</v>
      </c>
      <c r="L200" s="2">
        <v>0</v>
      </c>
      <c r="M200" s="2" t="s">
        <v>243</v>
      </c>
      <c r="N200" s="2" t="str">
        <f t="shared" si="1"/>
        <v>1 2 1 0 0;</v>
      </c>
      <c r="P200" t="s">
        <v>247</v>
      </c>
      <c r="Q200" s="2" t="str">
        <f t="shared" si="2"/>
        <v>State 25</v>
      </c>
      <c r="R200" s="1" t="s">
        <v>81</v>
      </c>
      <c r="S200" s="2" t="str">
        <f t="shared" si="3"/>
        <v>[1 2 1 0 0]</v>
      </c>
    </row>
    <row r="201" spans="2:19" hidden="1" outlineLevel="1" x14ac:dyDescent="0.25">
      <c r="B201" s="77">
        <v>26</v>
      </c>
      <c r="C201" s="71" t="s">
        <v>197</v>
      </c>
      <c r="D201" t="s">
        <v>218</v>
      </c>
      <c r="E201" s="4">
        <v>9</v>
      </c>
      <c r="H201" s="71">
        <v>1</v>
      </c>
      <c r="I201" s="2">
        <v>2</v>
      </c>
      <c r="J201">
        <v>0</v>
      </c>
      <c r="K201" s="2">
        <v>0</v>
      </c>
      <c r="L201" s="2">
        <v>1</v>
      </c>
      <c r="M201" s="2" t="s">
        <v>243</v>
      </c>
      <c r="N201" s="2" t="str">
        <f t="shared" si="1"/>
        <v>1 2 0 0 1;</v>
      </c>
      <c r="P201" t="s">
        <v>247</v>
      </c>
      <c r="Q201" s="2" t="str">
        <f t="shared" si="2"/>
        <v>State 26</v>
      </c>
      <c r="R201" s="1" t="s">
        <v>81</v>
      </c>
      <c r="S201" s="2" t="str">
        <f t="shared" si="3"/>
        <v>[1 2 0 0 1]</v>
      </c>
    </row>
    <row r="202" spans="2:19" outlineLevel="1" x14ac:dyDescent="0.25">
      <c r="B202" s="169">
        <v>25</v>
      </c>
      <c r="C202" s="170" t="s">
        <v>187</v>
      </c>
      <c r="D202" s="24" t="s">
        <v>118</v>
      </c>
      <c r="E202" s="4">
        <v>9</v>
      </c>
      <c r="H202" s="71">
        <v>1</v>
      </c>
      <c r="I202" s="2">
        <v>2</v>
      </c>
      <c r="J202">
        <v>0</v>
      </c>
      <c r="K202" s="2">
        <v>0</v>
      </c>
      <c r="L202" s="2">
        <v>0</v>
      </c>
      <c r="M202" s="2" t="s">
        <v>243</v>
      </c>
      <c r="N202" s="2" t="str">
        <f t="shared" si="1"/>
        <v>1 2 0 0 0;</v>
      </c>
      <c r="P202" t="s">
        <v>247</v>
      </c>
      <c r="Q202" s="2" t="str">
        <f t="shared" si="2"/>
        <v>State 25</v>
      </c>
      <c r="R202" s="1" t="s">
        <v>81</v>
      </c>
      <c r="S202" s="2" t="str">
        <f t="shared" si="3"/>
        <v>[1 2 0 0 0]</v>
      </c>
    </row>
    <row r="203" spans="2:19" hidden="1" outlineLevel="1" x14ac:dyDescent="0.25">
      <c r="B203" s="77">
        <v>28</v>
      </c>
      <c r="C203" s="71" t="s">
        <v>194</v>
      </c>
      <c r="D203" t="s">
        <v>218</v>
      </c>
      <c r="E203" s="4">
        <v>9</v>
      </c>
      <c r="H203" s="71">
        <v>1</v>
      </c>
      <c r="I203" s="2">
        <v>1</v>
      </c>
      <c r="J203">
        <v>1</v>
      </c>
      <c r="K203" s="2">
        <v>1</v>
      </c>
      <c r="L203" s="2">
        <v>0</v>
      </c>
      <c r="M203" s="2" t="s">
        <v>243</v>
      </c>
      <c r="N203" s="2" t="str">
        <f t="shared" si="1"/>
        <v>1 1 1 1 0;</v>
      </c>
      <c r="P203" t="s">
        <v>247</v>
      </c>
      <c r="Q203" s="2" t="str">
        <f t="shared" si="2"/>
        <v>State 28</v>
      </c>
      <c r="R203" s="1" t="s">
        <v>81</v>
      </c>
      <c r="S203" s="2" t="str">
        <f t="shared" si="3"/>
        <v>[1 1 1 1 0]</v>
      </c>
    </row>
    <row r="204" spans="2:19" hidden="1" outlineLevel="1" x14ac:dyDescent="0.25">
      <c r="B204" s="77">
        <v>29</v>
      </c>
      <c r="C204" s="71" t="s">
        <v>195</v>
      </c>
      <c r="D204" t="s">
        <v>218</v>
      </c>
      <c r="E204" s="4">
        <v>9</v>
      </c>
      <c r="H204" s="71">
        <v>1</v>
      </c>
      <c r="I204" s="2">
        <v>1</v>
      </c>
      <c r="J204">
        <v>0</v>
      </c>
      <c r="K204" s="2">
        <v>1</v>
      </c>
      <c r="L204" s="2">
        <v>1</v>
      </c>
      <c r="M204" s="2" t="s">
        <v>243</v>
      </c>
      <c r="N204" s="2" t="str">
        <f t="shared" si="1"/>
        <v>1 1 0 1 1;</v>
      </c>
      <c r="P204" t="s">
        <v>247</v>
      </c>
      <c r="Q204" s="2" t="str">
        <f t="shared" si="2"/>
        <v>State 29</v>
      </c>
      <c r="R204" s="1" t="s">
        <v>81</v>
      </c>
      <c r="S204" s="2" t="str">
        <f t="shared" si="3"/>
        <v>[1 1 0 1 1]</v>
      </c>
    </row>
    <row r="205" spans="2:19" outlineLevel="1" x14ac:dyDescent="0.25">
      <c r="B205" s="169">
        <v>26</v>
      </c>
      <c r="C205" s="170" t="s">
        <v>188</v>
      </c>
      <c r="D205" s="24" t="s">
        <v>118</v>
      </c>
      <c r="E205" s="4">
        <v>9</v>
      </c>
      <c r="H205" s="71">
        <v>1</v>
      </c>
      <c r="I205" s="2">
        <v>1</v>
      </c>
      <c r="J205">
        <v>0</v>
      </c>
      <c r="K205" s="2">
        <v>1</v>
      </c>
      <c r="L205" s="2">
        <v>0</v>
      </c>
      <c r="M205" s="2" t="s">
        <v>243</v>
      </c>
      <c r="N205" s="2" t="str">
        <f t="shared" si="1"/>
        <v>1 1 0 1 0;</v>
      </c>
      <c r="P205" t="s">
        <v>247</v>
      </c>
      <c r="Q205" s="2" t="str">
        <f t="shared" si="2"/>
        <v>State 26</v>
      </c>
      <c r="R205" s="1" t="s">
        <v>81</v>
      </c>
      <c r="S205" s="2" t="str">
        <f t="shared" si="3"/>
        <v>[1 1 0 1 0]</v>
      </c>
    </row>
    <row r="206" spans="2:19" outlineLevel="1" x14ac:dyDescent="0.25">
      <c r="B206" s="169">
        <v>27</v>
      </c>
      <c r="C206" s="171" t="s">
        <v>203</v>
      </c>
      <c r="D206" s="24" t="s">
        <v>118</v>
      </c>
      <c r="E206" s="4">
        <v>10</v>
      </c>
      <c r="H206">
        <v>2</v>
      </c>
      <c r="I206" s="2">
        <v>0</v>
      </c>
      <c r="J206">
        <v>1</v>
      </c>
      <c r="K206" s="2">
        <v>0</v>
      </c>
      <c r="L206" s="2">
        <v>0</v>
      </c>
      <c r="M206" s="2" t="s">
        <v>243</v>
      </c>
      <c r="N206" s="2" t="str">
        <f t="shared" si="1"/>
        <v>2 0 1 0 0;</v>
      </c>
      <c r="P206" t="s">
        <v>247</v>
      </c>
      <c r="Q206" s="2" t="str">
        <f t="shared" si="2"/>
        <v>State 27</v>
      </c>
      <c r="R206" s="1" t="s">
        <v>81</v>
      </c>
      <c r="S206" s="2" t="str">
        <f t="shared" si="3"/>
        <v>[2 0 1 0 0]</v>
      </c>
    </row>
    <row r="207" spans="2:19" outlineLevel="1" x14ac:dyDescent="0.25">
      <c r="B207" s="169">
        <v>28</v>
      </c>
      <c r="C207" s="171" t="s">
        <v>202</v>
      </c>
      <c r="D207" s="24" t="s">
        <v>118</v>
      </c>
      <c r="E207" s="4">
        <v>10</v>
      </c>
      <c r="H207">
        <v>2</v>
      </c>
      <c r="I207" s="2">
        <v>0</v>
      </c>
      <c r="J207">
        <v>0</v>
      </c>
      <c r="K207" s="2">
        <v>0</v>
      </c>
      <c r="L207" s="2">
        <v>1</v>
      </c>
      <c r="M207" s="2" t="s">
        <v>243</v>
      </c>
      <c r="N207" s="2" t="str">
        <f t="shared" si="1"/>
        <v>2 0 0 0 1;</v>
      </c>
      <c r="P207" t="s">
        <v>247</v>
      </c>
      <c r="Q207" s="2" t="str">
        <f t="shared" si="2"/>
        <v>State 28</v>
      </c>
      <c r="R207" s="1" t="s">
        <v>81</v>
      </c>
      <c r="S207" s="2" t="str">
        <f t="shared" si="3"/>
        <v>[2 0 0 0 1]</v>
      </c>
    </row>
    <row r="208" spans="2:19" outlineLevel="1" x14ac:dyDescent="0.25">
      <c r="B208" s="169">
        <v>29</v>
      </c>
      <c r="C208" s="171" t="s">
        <v>201</v>
      </c>
      <c r="D208" s="24" t="s">
        <v>118</v>
      </c>
      <c r="E208" s="4">
        <v>10</v>
      </c>
      <c r="H208">
        <v>2</v>
      </c>
      <c r="I208" s="2">
        <v>0</v>
      </c>
      <c r="J208">
        <v>0</v>
      </c>
      <c r="K208" s="2">
        <v>0</v>
      </c>
      <c r="L208" s="2">
        <v>0</v>
      </c>
      <c r="M208" s="2" t="s">
        <v>243</v>
      </c>
      <c r="N208" s="2" t="str">
        <f t="shared" si="1"/>
        <v>2 0 0 0 0;</v>
      </c>
      <c r="P208" t="s">
        <v>247</v>
      </c>
      <c r="Q208" s="2" t="str">
        <f t="shared" si="2"/>
        <v>State 29</v>
      </c>
      <c r="R208" s="1" t="s">
        <v>81</v>
      </c>
      <c r="S208" s="2" t="str">
        <f t="shared" si="3"/>
        <v>[2 0 0 0 0]</v>
      </c>
    </row>
    <row r="209" spans="2:19" outlineLevel="1" x14ac:dyDescent="0.25">
      <c r="B209" s="169">
        <v>30</v>
      </c>
      <c r="C209" s="171" t="s">
        <v>199</v>
      </c>
      <c r="D209" s="24" t="s">
        <v>118</v>
      </c>
      <c r="E209" s="4">
        <v>10</v>
      </c>
      <c r="H209">
        <v>1</v>
      </c>
      <c r="I209" s="2">
        <v>0</v>
      </c>
      <c r="J209">
        <v>2</v>
      </c>
      <c r="K209" s="2">
        <v>0</v>
      </c>
      <c r="L209" s="2">
        <v>0</v>
      </c>
      <c r="M209" s="2" t="s">
        <v>243</v>
      </c>
      <c r="N209" s="2" t="str">
        <f t="shared" si="1"/>
        <v>1 0 2 0 0;</v>
      </c>
      <c r="P209" t="s">
        <v>247</v>
      </c>
      <c r="Q209" s="2" t="str">
        <f t="shared" si="2"/>
        <v>State 30</v>
      </c>
      <c r="R209" s="1" t="s">
        <v>81</v>
      </c>
      <c r="S209" s="2" t="str">
        <f t="shared" si="3"/>
        <v>[1 0 2 0 0]</v>
      </c>
    </row>
    <row r="210" spans="2:19" outlineLevel="1" x14ac:dyDescent="0.25">
      <c r="B210" s="169">
        <v>31</v>
      </c>
      <c r="C210" s="171" t="s">
        <v>198</v>
      </c>
      <c r="D210" s="24" t="s">
        <v>118</v>
      </c>
      <c r="E210" s="4">
        <v>10</v>
      </c>
      <c r="H210">
        <v>1</v>
      </c>
      <c r="I210" s="2">
        <v>0</v>
      </c>
      <c r="J210">
        <v>1</v>
      </c>
      <c r="K210" s="2">
        <v>0</v>
      </c>
      <c r="L210" s="2">
        <v>1</v>
      </c>
      <c r="M210" s="2" t="s">
        <v>243</v>
      </c>
      <c r="N210" s="2" t="str">
        <f t="shared" si="1"/>
        <v>1 0 1 0 1;</v>
      </c>
      <c r="P210" t="s">
        <v>247</v>
      </c>
      <c r="Q210" s="2" t="str">
        <f t="shared" si="2"/>
        <v>State 31</v>
      </c>
      <c r="R210" s="1" t="s">
        <v>81</v>
      </c>
      <c r="S210" s="2" t="str">
        <f t="shared" si="3"/>
        <v>[1 0 1 0 1]</v>
      </c>
    </row>
    <row r="211" spans="2:19" outlineLevel="1" x14ac:dyDescent="0.25">
      <c r="B211" s="169">
        <v>32</v>
      </c>
      <c r="C211" s="170" t="s">
        <v>189</v>
      </c>
      <c r="D211" s="24" t="s">
        <v>118</v>
      </c>
      <c r="E211" s="4">
        <v>11</v>
      </c>
      <c r="H211" s="71">
        <v>0</v>
      </c>
      <c r="I211" s="2">
        <v>2</v>
      </c>
      <c r="J211">
        <v>1</v>
      </c>
      <c r="K211" s="2">
        <v>0</v>
      </c>
      <c r="L211" s="2">
        <v>0</v>
      </c>
      <c r="M211" s="2" t="s">
        <v>243</v>
      </c>
      <c r="N211" s="2" t="str">
        <f t="shared" si="1"/>
        <v>0 2 1 0 0;</v>
      </c>
      <c r="P211" t="s">
        <v>247</v>
      </c>
      <c r="Q211" s="2" t="str">
        <f t="shared" si="2"/>
        <v>State 32</v>
      </c>
      <c r="R211" s="1" t="s">
        <v>81</v>
      </c>
      <c r="S211" s="2" t="str">
        <f t="shared" si="3"/>
        <v>[0 2 1 0 0]</v>
      </c>
    </row>
    <row r="212" spans="2:19" outlineLevel="1" x14ac:dyDescent="0.25">
      <c r="B212" s="169">
        <v>33</v>
      </c>
      <c r="C212" s="170" t="s">
        <v>200</v>
      </c>
      <c r="D212" s="24" t="s">
        <v>118</v>
      </c>
      <c r="E212" s="4">
        <v>11</v>
      </c>
      <c r="H212" s="71">
        <v>0</v>
      </c>
      <c r="I212" s="2">
        <v>2</v>
      </c>
      <c r="J212">
        <v>0</v>
      </c>
      <c r="K212" s="2">
        <v>0</v>
      </c>
      <c r="L212" s="2">
        <v>1</v>
      </c>
      <c r="M212" s="2" t="s">
        <v>243</v>
      </c>
      <c r="N212" s="2" t="str">
        <f t="shared" si="1"/>
        <v>0 2 0 0 1;</v>
      </c>
      <c r="P212" t="s">
        <v>247</v>
      </c>
      <c r="Q212" s="2" t="str">
        <f t="shared" si="2"/>
        <v>State 33</v>
      </c>
      <c r="R212" s="1" t="s">
        <v>81</v>
      </c>
      <c r="S212" s="2" t="str">
        <f t="shared" si="3"/>
        <v>[0 2 0 0 1]</v>
      </c>
    </row>
    <row r="213" spans="2:19" outlineLevel="1" x14ac:dyDescent="0.25">
      <c r="B213" s="169">
        <v>34</v>
      </c>
      <c r="C213" s="170" t="s">
        <v>191</v>
      </c>
      <c r="D213" s="24" t="s">
        <v>118</v>
      </c>
      <c r="E213" s="4">
        <v>11</v>
      </c>
      <c r="H213" s="71">
        <v>0</v>
      </c>
      <c r="I213" s="2">
        <v>2</v>
      </c>
      <c r="J213">
        <v>0</v>
      </c>
      <c r="K213" s="2">
        <v>0</v>
      </c>
      <c r="L213" s="2">
        <v>0</v>
      </c>
      <c r="M213" s="2" t="s">
        <v>243</v>
      </c>
      <c r="N213" s="2" t="str">
        <f t="shared" si="1"/>
        <v>0 2 0 0 0;</v>
      </c>
      <c r="P213" t="s">
        <v>247</v>
      </c>
      <c r="Q213" s="2" t="str">
        <f t="shared" si="2"/>
        <v>State 34</v>
      </c>
      <c r="R213" s="1" t="s">
        <v>81</v>
      </c>
      <c r="S213" s="2" t="str">
        <f t="shared" si="3"/>
        <v>[0 2 0 0 0]</v>
      </c>
    </row>
    <row r="214" spans="2:19" outlineLevel="1" x14ac:dyDescent="0.25">
      <c r="B214" s="169">
        <v>35</v>
      </c>
      <c r="C214" s="170" t="s">
        <v>190</v>
      </c>
      <c r="D214" s="24" t="s">
        <v>118</v>
      </c>
      <c r="E214" s="4">
        <v>11</v>
      </c>
      <c r="H214" s="71">
        <v>0</v>
      </c>
      <c r="I214" s="2">
        <v>1</v>
      </c>
      <c r="J214">
        <v>1</v>
      </c>
      <c r="K214" s="2">
        <v>1</v>
      </c>
      <c r="L214" s="2">
        <v>0</v>
      </c>
      <c r="M214" s="2" t="s">
        <v>243</v>
      </c>
      <c r="N214" s="2" t="str">
        <f t="shared" si="1"/>
        <v>0 1 1 1 0;</v>
      </c>
      <c r="P214" t="s">
        <v>247</v>
      </c>
      <c r="Q214" s="2" t="str">
        <f t="shared" si="2"/>
        <v>State 35</v>
      </c>
      <c r="R214" s="1" t="s">
        <v>81</v>
      </c>
      <c r="S214" s="2" t="str">
        <f t="shared" si="3"/>
        <v>[0 1 1 1 0]</v>
      </c>
    </row>
    <row r="215" spans="2:19" outlineLevel="1" x14ac:dyDescent="0.25">
      <c r="B215" s="169">
        <v>36</v>
      </c>
      <c r="C215" s="170" t="s">
        <v>193</v>
      </c>
      <c r="D215" s="24" t="s">
        <v>118</v>
      </c>
      <c r="E215" s="4">
        <v>11</v>
      </c>
      <c r="H215" s="71">
        <v>0</v>
      </c>
      <c r="I215" s="2">
        <v>1</v>
      </c>
      <c r="J215">
        <v>0</v>
      </c>
      <c r="K215" s="2">
        <v>1</v>
      </c>
      <c r="L215" s="2">
        <v>1</v>
      </c>
      <c r="M215" s="2" t="s">
        <v>243</v>
      </c>
      <c r="N215" s="2" t="str">
        <f t="shared" si="1"/>
        <v>0 1 0 1 1;</v>
      </c>
      <c r="P215" t="s">
        <v>247</v>
      </c>
      <c r="Q215" s="2" t="str">
        <f t="shared" si="2"/>
        <v>State 36</v>
      </c>
      <c r="R215" s="1" t="s">
        <v>81</v>
      </c>
      <c r="S215" s="2" t="str">
        <f t="shared" si="3"/>
        <v>[0 1 0 1 1]</v>
      </c>
    </row>
    <row r="216" spans="2:19" outlineLevel="1" x14ac:dyDescent="0.25">
      <c r="B216" s="169">
        <v>37</v>
      </c>
      <c r="C216" s="170" t="s">
        <v>192</v>
      </c>
      <c r="D216" s="24" t="s">
        <v>118</v>
      </c>
      <c r="E216" s="4">
        <v>11</v>
      </c>
      <c r="H216" s="71">
        <v>0</v>
      </c>
      <c r="I216" s="2">
        <v>1</v>
      </c>
      <c r="J216">
        <v>0</v>
      </c>
      <c r="K216" s="2">
        <v>1</v>
      </c>
      <c r="L216" s="2">
        <v>0</v>
      </c>
      <c r="M216" s="2" t="s">
        <v>243</v>
      </c>
      <c r="N216" s="2" t="str">
        <f t="shared" si="1"/>
        <v>0 1 0 1 0;</v>
      </c>
      <c r="P216" t="s">
        <v>247</v>
      </c>
      <c r="Q216" s="2" t="str">
        <f t="shared" si="2"/>
        <v>State 37</v>
      </c>
      <c r="R216" s="1" t="s">
        <v>81</v>
      </c>
      <c r="S216" s="2" t="str">
        <f t="shared" si="3"/>
        <v>[0 1 0 1 0]</v>
      </c>
    </row>
    <row r="217" spans="2:19" hidden="1" outlineLevel="1" x14ac:dyDescent="0.25">
      <c r="B217" s="160">
        <v>42</v>
      </c>
      <c r="C217" s="161" t="s">
        <v>205</v>
      </c>
      <c r="D217" s="162" t="s">
        <v>218</v>
      </c>
      <c r="E217" s="163">
        <v>14</v>
      </c>
      <c r="H217" s="71">
        <v>0</v>
      </c>
      <c r="I217" s="2">
        <v>2</v>
      </c>
      <c r="J217">
        <v>2</v>
      </c>
      <c r="K217" s="2">
        <v>0</v>
      </c>
      <c r="L217" s="2">
        <v>0</v>
      </c>
      <c r="M217" s="2" t="s">
        <v>243</v>
      </c>
      <c r="N217" s="2" t="str">
        <f t="shared" si="1"/>
        <v>0 2 2 0 0;</v>
      </c>
      <c r="P217" t="s">
        <v>247</v>
      </c>
      <c r="Q217" s="2" t="str">
        <f t="shared" si="2"/>
        <v>State 42</v>
      </c>
      <c r="R217" s="1" t="s">
        <v>81</v>
      </c>
      <c r="S217" s="2" t="str">
        <f t="shared" si="3"/>
        <v>[0 2 2 0 0]</v>
      </c>
    </row>
    <row r="218" spans="2:19" hidden="1" outlineLevel="1" x14ac:dyDescent="0.25">
      <c r="B218" s="160">
        <v>43</v>
      </c>
      <c r="C218" s="161" t="s">
        <v>204</v>
      </c>
      <c r="D218" s="162" t="s">
        <v>218</v>
      </c>
      <c r="E218" s="163">
        <v>14</v>
      </c>
      <c r="H218" s="71">
        <v>0</v>
      </c>
      <c r="I218" s="2">
        <v>2</v>
      </c>
      <c r="J218">
        <v>1</v>
      </c>
      <c r="K218" s="2">
        <v>0</v>
      </c>
      <c r="L218" s="2">
        <v>1</v>
      </c>
      <c r="M218" s="2" t="s">
        <v>243</v>
      </c>
      <c r="N218" s="2" t="str">
        <f t="shared" si="1"/>
        <v>0 2 1 0 1;</v>
      </c>
      <c r="P218" t="s">
        <v>247</v>
      </c>
      <c r="Q218" s="2" t="str">
        <f t="shared" si="2"/>
        <v>State 43</v>
      </c>
      <c r="R218" s="1" t="s">
        <v>81</v>
      </c>
      <c r="S218" s="2" t="str">
        <f t="shared" si="3"/>
        <v>[0 2 1 0 1]</v>
      </c>
    </row>
    <row r="219" spans="2:19" hidden="1" outlineLevel="1" x14ac:dyDescent="0.25">
      <c r="B219" s="77">
        <v>44</v>
      </c>
      <c r="C219" s="71" t="s">
        <v>209</v>
      </c>
      <c r="D219" t="s">
        <v>218</v>
      </c>
      <c r="E219" s="4">
        <v>14</v>
      </c>
      <c r="H219" s="71">
        <v>0</v>
      </c>
      <c r="I219" s="2">
        <v>1</v>
      </c>
      <c r="J219">
        <v>2</v>
      </c>
      <c r="K219" s="2">
        <v>1</v>
      </c>
      <c r="L219" s="2">
        <v>0</v>
      </c>
      <c r="M219" s="2" t="s">
        <v>243</v>
      </c>
      <c r="N219" s="2" t="str">
        <f t="shared" si="1"/>
        <v>0 1 2 1 0;</v>
      </c>
      <c r="P219" t="s">
        <v>247</v>
      </c>
      <c r="Q219" s="2" t="str">
        <f t="shared" si="2"/>
        <v>State 44</v>
      </c>
      <c r="R219" s="1" t="s">
        <v>81</v>
      </c>
      <c r="S219" s="2" t="str">
        <f t="shared" si="3"/>
        <v>[0 1 2 1 0]</v>
      </c>
    </row>
    <row r="220" spans="2:19" hidden="1" outlineLevel="1" x14ac:dyDescent="0.25">
      <c r="B220" s="77">
        <v>45</v>
      </c>
      <c r="C220" s="71" t="s">
        <v>210</v>
      </c>
      <c r="D220" t="s">
        <v>218</v>
      </c>
      <c r="E220" s="4">
        <v>14</v>
      </c>
      <c r="H220" s="71">
        <v>0</v>
      </c>
      <c r="I220" s="2">
        <v>1</v>
      </c>
      <c r="J220">
        <v>1</v>
      </c>
      <c r="K220" s="2">
        <v>1</v>
      </c>
      <c r="L220" s="2">
        <v>1</v>
      </c>
      <c r="M220" s="2" t="s">
        <v>243</v>
      </c>
      <c r="N220" s="2" t="str">
        <f t="shared" si="1"/>
        <v>0 1 1 1 1;</v>
      </c>
      <c r="P220" t="s">
        <v>247</v>
      </c>
      <c r="Q220" s="2" t="str">
        <f t="shared" si="2"/>
        <v>State 45</v>
      </c>
      <c r="R220" s="1" t="s">
        <v>81</v>
      </c>
      <c r="S220" s="2" t="str">
        <f t="shared" si="3"/>
        <v>[0 1 1 1 1]</v>
      </c>
    </row>
    <row r="221" spans="2:19" hidden="1" outlineLevel="1" x14ac:dyDescent="0.25">
      <c r="B221" s="77">
        <v>46</v>
      </c>
      <c r="C221" t="s">
        <v>208</v>
      </c>
      <c r="D221" t="s">
        <v>218</v>
      </c>
      <c r="E221" s="4">
        <v>15</v>
      </c>
      <c r="H221">
        <v>2</v>
      </c>
      <c r="I221" s="2">
        <v>1</v>
      </c>
      <c r="J221">
        <v>1</v>
      </c>
      <c r="K221" s="2">
        <v>0</v>
      </c>
      <c r="L221" s="2">
        <v>0</v>
      </c>
      <c r="M221" s="2" t="s">
        <v>243</v>
      </c>
      <c r="N221" s="2" t="str">
        <f t="shared" si="1"/>
        <v>2 1 1 0 0;</v>
      </c>
      <c r="P221" t="s">
        <v>247</v>
      </c>
      <c r="Q221" s="2" t="str">
        <f t="shared" si="2"/>
        <v>State 46</v>
      </c>
      <c r="R221" s="1" t="s">
        <v>81</v>
      </c>
      <c r="S221" s="2" t="str">
        <f t="shared" si="3"/>
        <v>[2 1 1 0 0]</v>
      </c>
    </row>
    <row r="222" spans="2:19" hidden="1" outlineLevel="1" x14ac:dyDescent="0.25">
      <c r="B222" s="77">
        <v>47</v>
      </c>
      <c r="C222" s="71" t="s">
        <v>207</v>
      </c>
      <c r="D222" t="s">
        <v>218</v>
      </c>
      <c r="E222" s="4">
        <v>15</v>
      </c>
      <c r="H222" s="71">
        <v>2</v>
      </c>
      <c r="I222" s="2">
        <v>1</v>
      </c>
      <c r="J222">
        <v>0</v>
      </c>
      <c r="K222" s="2">
        <v>0</v>
      </c>
      <c r="L222" s="2">
        <v>1</v>
      </c>
      <c r="M222" s="2" t="s">
        <v>243</v>
      </c>
      <c r="N222" s="2" t="str">
        <f t="shared" si="1"/>
        <v>2 1 0 0 1;</v>
      </c>
      <c r="P222" t="s">
        <v>247</v>
      </c>
      <c r="Q222" s="2" t="str">
        <f t="shared" si="2"/>
        <v>State 47</v>
      </c>
      <c r="R222" s="1" t="s">
        <v>81</v>
      </c>
      <c r="S222" s="2" t="str">
        <f t="shared" si="3"/>
        <v>[2 1 0 0 1]</v>
      </c>
    </row>
    <row r="223" spans="2:19" outlineLevel="1" x14ac:dyDescent="0.25">
      <c r="B223" s="169">
        <v>38</v>
      </c>
      <c r="C223" s="170" t="s">
        <v>206</v>
      </c>
      <c r="D223" s="24" t="s">
        <v>118</v>
      </c>
      <c r="E223" s="4">
        <v>15</v>
      </c>
      <c r="H223" s="71">
        <v>2</v>
      </c>
      <c r="I223" s="2">
        <v>1</v>
      </c>
      <c r="J223">
        <v>0</v>
      </c>
      <c r="K223" s="2">
        <v>0</v>
      </c>
      <c r="L223" s="2">
        <v>0</v>
      </c>
      <c r="M223" s="2" t="s">
        <v>243</v>
      </c>
      <c r="N223" s="2" t="str">
        <f t="shared" si="1"/>
        <v>2 1 0 0 0;</v>
      </c>
      <c r="P223" t="s">
        <v>247</v>
      </c>
      <c r="Q223" s="2" t="str">
        <f t="shared" si="2"/>
        <v>State 38</v>
      </c>
      <c r="R223" s="1" t="s">
        <v>81</v>
      </c>
      <c r="S223" s="2" t="str">
        <f t="shared" si="3"/>
        <v>[2 1 0 0 0]</v>
      </c>
    </row>
    <row r="224" spans="2:19" hidden="1" outlineLevel="1" x14ac:dyDescent="0.25">
      <c r="B224" s="77">
        <v>49</v>
      </c>
      <c r="C224" s="71" t="s">
        <v>212</v>
      </c>
      <c r="D224" t="s">
        <v>218</v>
      </c>
      <c r="E224" s="4">
        <v>15</v>
      </c>
      <c r="H224" s="71">
        <v>1</v>
      </c>
      <c r="I224" s="2">
        <v>1</v>
      </c>
      <c r="J224">
        <v>2</v>
      </c>
      <c r="K224" s="2">
        <v>0</v>
      </c>
      <c r="L224" s="2">
        <v>0</v>
      </c>
      <c r="M224" s="2" t="s">
        <v>243</v>
      </c>
      <c r="N224" s="2" t="str">
        <f t="shared" si="1"/>
        <v>1 1 2 0 0;</v>
      </c>
      <c r="P224" t="s">
        <v>247</v>
      </c>
      <c r="Q224" s="2" t="str">
        <f t="shared" si="2"/>
        <v>State 49</v>
      </c>
      <c r="R224" s="1" t="s">
        <v>81</v>
      </c>
      <c r="S224" s="2" t="str">
        <f t="shared" si="3"/>
        <v>[1 1 2 0 0]</v>
      </c>
    </row>
    <row r="225" spans="2:19" hidden="1" outlineLevel="1" x14ac:dyDescent="0.25">
      <c r="B225" s="77">
        <v>50</v>
      </c>
      <c r="C225" s="71" t="s">
        <v>211</v>
      </c>
      <c r="D225" t="s">
        <v>218</v>
      </c>
      <c r="E225" s="4">
        <v>15</v>
      </c>
      <c r="H225" s="71">
        <v>1</v>
      </c>
      <c r="I225" s="2">
        <v>1</v>
      </c>
      <c r="J225">
        <v>1</v>
      </c>
      <c r="K225" s="2">
        <v>0</v>
      </c>
      <c r="L225" s="2">
        <v>1</v>
      </c>
      <c r="M225" s="2" t="s">
        <v>243</v>
      </c>
      <c r="N225" s="2" t="str">
        <f t="shared" si="1"/>
        <v>1 1 1 0 1;</v>
      </c>
      <c r="P225" t="s">
        <v>247</v>
      </c>
      <c r="Q225" s="2" t="str">
        <f t="shared" si="2"/>
        <v>State 50</v>
      </c>
      <c r="R225" s="1" t="s">
        <v>81</v>
      </c>
      <c r="S225" s="2" t="str">
        <f t="shared" si="3"/>
        <v>[1 1 1 0 1]</v>
      </c>
    </row>
    <row r="226" spans="2:19" hidden="1" outlineLevel="1" x14ac:dyDescent="0.25">
      <c r="B226" s="77">
        <v>51</v>
      </c>
      <c r="C226" s="71" t="s">
        <v>215</v>
      </c>
      <c r="D226" t="s">
        <v>218</v>
      </c>
      <c r="E226" s="4">
        <v>15</v>
      </c>
      <c r="H226" s="71">
        <v>2</v>
      </c>
      <c r="I226" s="2">
        <v>0</v>
      </c>
      <c r="J226">
        <v>1</v>
      </c>
      <c r="K226" s="2">
        <v>1</v>
      </c>
      <c r="L226" s="2">
        <v>0</v>
      </c>
      <c r="M226" s="2" t="s">
        <v>243</v>
      </c>
      <c r="N226" s="2" t="str">
        <f t="shared" si="1"/>
        <v>2 0 1 1 0;</v>
      </c>
      <c r="P226" t="s">
        <v>247</v>
      </c>
      <c r="Q226" s="2" t="str">
        <f t="shared" si="2"/>
        <v>State 51</v>
      </c>
      <c r="R226" s="1" t="s">
        <v>81</v>
      </c>
      <c r="S226" s="2" t="str">
        <f t="shared" si="3"/>
        <v>[2 0 1 1 0]</v>
      </c>
    </row>
    <row r="227" spans="2:19" hidden="1" outlineLevel="1" x14ac:dyDescent="0.25">
      <c r="B227" s="77">
        <v>52</v>
      </c>
      <c r="C227" s="71" t="s">
        <v>214</v>
      </c>
      <c r="D227" t="s">
        <v>218</v>
      </c>
      <c r="E227" s="4">
        <v>15</v>
      </c>
      <c r="H227" s="71">
        <v>2</v>
      </c>
      <c r="I227" s="2">
        <v>0</v>
      </c>
      <c r="J227">
        <v>0</v>
      </c>
      <c r="K227" s="2">
        <v>1</v>
      </c>
      <c r="L227" s="2">
        <v>1</v>
      </c>
      <c r="M227" s="2" t="s">
        <v>243</v>
      </c>
      <c r="N227" s="2" t="str">
        <f t="shared" si="1"/>
        <v>2 0 0 1 1;</v>
      </c>
      <c r="P227" t="s">
        <v>247</v>
      </c>
      <c r="Q227" s="2" t="str">
        <f t="shared" si="2"/>
        <v>State 52</v>
      </c>
      <c r="R227" s="1" t="s">
        <v>81</v>
      </c>
      <c r="S227" s="2" t="str">
        <f t="shared" si="3"/>
        <v>[2 0 0 1 1]</v>
      </c>
    </row>
    <row r="228" spans="2:19" outlineLevel="1" x14ac:dyDescent="0.25">
      <c r="B228" s="169">
        <v>39</v>
      </c>
      <c r="C228" s="170" t="s">
        <v>213</v>
      </c>
      <c r="D228" s="24" t="s">
        <v>118</v>
      </c>
      <c r="E228" s="4">
        <v>15</v>
      </c>
      <c r="H228" s="71">
        <v>2</v>
      </c>
      <c r="I228" s="2">
        <v>0</v>
      </c>
      <c r="J228">
        <v>0</v>
      </c>
      <c r="K228" s="2">
        <v>1</v>
      </c>
      <c r="L228" s="2">
        <v>0</v>
      </c>
      <c r="M228" s="2" t="s">
        <v>243</v>
      </c>
      <c r="N228" s="2" t="str">
        <f t="shared" si="1"/>
        <v>2 0 0 1 0;</v>
      </c>
      <c r="P228" t="s">
        <v>247</v>
      </c>
      <c r="Q228" s="2" t="str">
        <f t="shared" si="2"/>
        <v>State 39</v>
      </c>
      <c r="R228" s="1" t="s">
        <v>81</v>
      </c>
      <c r="S228" s="2" t="str">
        <f t="shared" si="3"/>
        <v>[2 0 0 1 0]</v>
      </c>
    </row>
    <row r="229" spans="2:19" hidden="1" outlineLevel="1" x14ac:dyDescent="0.25">
      <c r="B229" s="77">
        <v>54</v>
      </c>
      <c r="C229" s="71" t="s">
        <v>217</v>
      </c>
      <c r="D229" t="s">
        <v>218</v>
      </c>
      <c r="E229" s="4">
        <v>15</v>
      </c>
      <c r="H229" s="71">
        <v>1</v>
      </c>
      <c r="I229" s="2">
        <v>0</v>
      </c>
      <c r="J229">
        <v>2</v>
      </c>
      <c r="K229" s="2">
        <v>1</v>
      </c>
      <c r="L229" s="2">
        <v>0</v>
      </c>
      <c r="M229" s="2" t="s">
        <v>243</v>
      </c>
      <c r="N229" s="2" t="str">
        <f t="shared" si="1"/>
        <v>1 0 2 1 0;</v>
      </c>
      <c r="P229" t="s">
        <v>247</v>
      </c>
      <c r="Q229" s="2" t="str">
        <f t="shared" si="2"/>
        <v>State 54</v>
      </c>
      <c r="R229" s="1" t="s">
        <v>81</v>
      </c>
      <c r="S229" s="2" t="str">
        <f t="shared" si="3"/>
        <v>[1 0 2 1 0]</v>
      </c>
    </row>
    <row r="230" spans="2:19" hidden="1" outlineLevel="1" x14ac:dyDescent="0.25">
      <c r="B230" s="88">
        <v>55</v>
      </c>
      <c r="C230" s="73" t="s">
        <v>216</v>
      </c>
      <c r="D230" s="72" t="s">
        <v>218</v>
      </c>
      <c r="E230" s="118">
        <v>15</v>
      </c>
      <c r="H230" s="73">
        <v>1</v>
      </c>
      <c r="I230" s="2">
        <v>0</v>
      </c>
      <c r="J230">
        <v>1</v>
      </c>
      <c r="K230" s="2">
        <v>1</v>
      </c>
      <c r="L230" s="2">
        <v>1</v>
      </c>
      <c r="M230" s="2" t="s">
        <v>245</v>
      </c>
      <c r="N230" s="2" t="str">
        <f t="shared" si="1"/>
        <v>1 0 1 1 1];</v>
      </c>
      <c r="P230" t="s">
        <v>247</v>
      </c>
      <c r="Q230" s="2" t="str">
        <f t="shared" si="2"/>
        <v>State 55</v>
      </c>
      <c r="R230" s="1" t="s">
        <v>81</v>
      </c>
      <c r="S230" s="2" t="str">
        <f t="shared" si="3"/>
        <v>[1 0 1 1 1]</v>
      </c>
    </row>
    <row r="231" spans="2:19" x14ac:dyDescent="0.25">
      <c r="D231" s="71"/>
    </row>
    <row r="232" spans="2:19" outlineLevel="1" x14ac:dyDescent="0.25">
      <c r="B232" s="182" t="s">
        <v>242</v>
      </c>
      <c r="C232" s="182"/>
      <c r="D232" s="182"/>
    </row>
    <row r="233" spans="2:19" outlineLevel="1" x14ac:dyDescent="0.25">
      <c r="B233" s="183" t="s">
        <v>118</v>
      </c>
      <c r="C233" s="184"/>
      <c r="D233" s="154">
        <f>COUNTIF($D$176:$D$230,B233)</f>
        <v>39</v>
      </c>
    </row>
    <row r="234" spans="2:19" outlineLevel="1" x14ac:dyDescent="0.25">
      <c r="B234" s="185" t="s">
        <v>218</v>
      </c>
      <c r="C234" s="186"/>
      <c r="D234" s="155">
        <f>COUNTIF($D$176:$D$230,B234)</f>
        <v>16</v>
      </c>
    </row>
    <row r="235" spans="2:19" outlineLevel="1" x14ac:dyDescent="0.25">
      <c r="B235" s="157"/>
      <c r="C235" s="158" t="s">
        <v>156</v>
      </c>
      <c r="D235" s="156">
        <f>SUM(D233:D234)</f>
        <v>55</v>
      </c>
    </row>
    <row r="237" spans="2:19" x14ac:dyDescent="0.25">
      <c r="D237" s="71"/>
    </row>
    <row r="238" spans="2:19" hidden="1" outlineLevel="1" x14ac:dyDescent="0.25">
      <c r="C238" s="122" t="s">
        <v>149</v>
      </c>
      <c r="D238" s="125">
        <v>0.64700000000000002</v>
      </c>
      <c r="G238" s="122" t="s">
        <v>150</v>
      </c>
      <c r="H238" s="123">
        <v>0.26300000000000001</v>
      </c>
      <c r="K238" s="122" t="s">
        <v>151</v>
      </c>
      <c r="L238" s="133" t="s">
        <v>155</v>
      </c>
    </row>
    <row r="239" spans="2:19" hidden="1" outlineLevel="1" x14ac:dyDescent="0.25">
      <c r="D239" s="71"/>
    </row>
    <row r="240" spans="2:19" hidden="1" outlineLevel="1" x14ac:dyDescent="0.25">
      <c r="B240" s="119"/>
      <c r="C240" s="121" t="s">
        <v>15</v>
      </c>
      <c r="D240" s="148" t="s">
        <v>24</v>
      </c>
      <c r="E240" s="121" t="s">
        <v>26</v>
      </c>
      <c r="F240" s="121" t="s">
        <v>37</v>
      </c>
      <c r="G240" s="121" t="s">
        <v>27</v>
      </c>
      <c r="H240" s="121" t="s">
        <v>109</v>
      </c>
      <c r="I240" s="121" t="s">
        <v>111</v>
      </c>
      <c r="J240" s="121" t="s">
        <v>110</v>
      </c>
      <c r="K240" s="121" t="s">
        <v>114</v>
      </c>
      <c r="L240" s="121" t="s">
        <v>113</v>
      </c>
      <c r="M240" s="121" t="s">
        <v>112</v>
      </c>
      <c r="N240" s="121" t="s">
        <v>116</v>
      </c>
      <c r="O240" s="121" t="s">
        <v>115</v>
      </c>
    </row>
    <row r="241" spans="1:15" hidden="1" outlineLevel="1" x14ac:dyDescent="0.25">
      <c r="A241" t="s">
        <v>148</v>
      </c>
      <c r="B241" s="120" t="s">
        <v>15</v>
      </c>
      <c r="C241" t="s">
        <v>108</v>
      </c>
      <c r="D241" s="71" t="s">
        <v>106</v>
      </c>
      <c r="E241" s="2" t="s">
        <v>107</v>
      </c>
    </row>
    <row r="242" spans="1:15" hidden="1" outlineLevel="1" x14ac:dyDescent="0.25">
      <c r="B242" s="120" t="s">
        <v>24</v>
      </c>
      <c r="D242" s="71"/>
      <c r="H242" t="s">
        <v>108</v>
      </c>
      <c r="I242" s="2" t="s">
        <v>106</v>
      </c>
      <c r="J242" t="s">
        <v>107</v>
      </c>
    </row>
    <row r="243" spans="1:15" hidden="1" outlineLevel="1" x14ac:dyDescent="0.25">
      <c r="B243" s="120" t="s">
        <v>26</v>
      </c>
      <c r="D243" s="71" t="s">
        <v>108</v>
      </c>
      <c r="F243" t="s">
        <v>106</v>
      </c>
      <c r="G243" s="2" t="s">
        <v>107</v>
      </c>
    </row>
    <row r="244" spans="1:15" hidden="1" outlineLevel="1" x14ac:dyDescent="0.25">
      <c r="B244" s="120" t="s">
        <v>37</v>
      </c>
      <c r="D244" s="71"/>
      <c r="K244" s="2" t="s">
        <v>106</v>
      </c>
      <c r="L244" s="2" t="s">
        <v>107</v>
      </c>
      <c r="M244" s="2" t="s">
        <v>108</v>
      </c>
    </row>
    <row r="245" spans="1:15" hidden="1" outlineLevel="1" x14ac:dyDescent="0.25">
      <c r="B245" s="120" t="s">
        <v>27</v>
      </c>
      <c r="D245" s="71"/>
      <c r="I245" s="2" t="s">
        <v>108</v>
      </c>
      <c r="N245" s="2" t="s">
        <v>106</v>
      </c>
      <c r="O245" s="2" t="s">
        <v>107</v>
      </c>
    </row>
    <row r="246" spans="1:15" hidden="1" outlineLevel="1" x14ac:dyDescent="0.25">
      <c r="B246" s="120" t="s">
        <v>109</v>
      </c>
      <c r="C246" t="s">
        <v>108</v>
      </c>
      <c r="D246" s="71" t="s">
        <v>106</v>
      </c>
      <c r="E246" s="2" t="s">
        <v>107</v>
      </c>
    </row>
    <row r="247" spans="1:15" hidden="1" outlineLevel="1" x14ac:dyDescent="0.25">
      <c r="B247" s="120" t="s">
        <v>111</v>
      </c>
      <c r="D247" s="71"/>
      <c r="H247" t="s">
        <v>108</v>
      </c>
      <c r="I247" s="2" t="s">
        <v>106</v>
      </c>
      <c r="J247" t="s">
        <v>107</v>
      </c>
    </row>
    <row r="248" spans="1:15" hidden="1" outlineLevel="1" x14ac:dyDescent="0.25">
      <c r="B248" s="120" t="s">
        <v>110</v>
      </c>
      <c r="D248" s="71" t="s">
        <v>108</v>
      </c>
      <c r="F248" t="s">
        <v>106</v>
      </c>
      <c r="G248" s="2" t="s">
        <v>107</v>
      </c>
    </row>
    <row r="249" spans="1:15" hidden="1" outlineLevel="1" x14ac:dyDescent="0.25">
      <c r="B249" s="120" t="s">
        <v>114</v>
      </c>
      <c r="D249" s="71"/>
      <c r="H249" t="s">
        <v>108</v>
      </c>
      <c r="I249" s="2" t="s">
        <v>106</v>
      </c>
      <c r="J249" t="s">
        <v>107</v>
      </c>
    </row>
    <row r="250" spans="1:15" hidden="1" outlineLevel="1" x14ac:dyDescent="0.25">
      <c r="B250" s="120" t="s">
        <v>113</v>
      </c>
      <c r="D250" s="71" t="s">
        <v>108</v>
      </c>
      <c r="F250" t="s">
        <v>106</v>
      </c>
      <c r="G250" s="2" t="s">
        <v>107</v>
      </c>
    </row>
    <row r="251" spans="1:15" hidden="1" outlineLevel="1" x14ac:dyDescent="0.25">
      <c r="B251" s="120" t="s">
        <v>112</v>
      </c>
      <c r="C251" t="s">
        <v>108</v>
      </c>
      <c r="D251" s="71" t="s">
        <v>106</v>
      </c>
      <c r="E251" s="2" t="s">
        <v>107</v>
      </c>
    </row>
    <row r="252" spans="1:15" hidden="1" outlineLevel="1" x14ac:dyDescent="0.25">
      <c r="B252" s="120" t="s">
        <v>116</v>
      </c>
      <c r="D252" s="71"/>
      <c r="K252" s="2" t="s">
        <v>106</v>
      </c>
      <c r="L252" s="2" t="s">
        <v>107</v>
      </c>
      <c r="M252" s="2" t="s">
        <v>108</v>
      </c>
    </row>
    <row r="253" spans="1:15" hidden="1" outlineLevel="1" x14ac:dyDescent="0.25">
      <c r="B253" s="120" t="s">
        <v>115</v>
      </c>
      <c r="D253" s="71"/>
      <c r="I253" s="2" t="s">
        <v>108</v>
      </c>
      <c r="N253" s="2" t="s">
        <v>106</v>
      </c>
      <c r="O253" s="2" t="s">
        <v>107</v>
      </c>
    </row>
    <row r="254" spans="1:15" hidden="1" outlineLevel="1" x14ac:dyDescent="0.25">
      <c r="D254" s="71"/>
    </row>
    <row r="255" spans="1:15" hidden="1" outlineLevel="1" x14ac:dyDescent="0.25">
      <c r="D255" s="71"/>
    </row>
    <row r="256" spans="1:15" hidden="1" outlineLevel="1" x14ac:dyDescent="0.25">
      <c r="B256" s="119"/>
      <c r="C256" s="121" t="str">
        <f>C240</f>
        <v>000</v>
      </c>
      <c r="D256" s="148" t="str">
        <f t="shared" ref="D256:O256" si="4">D240</f>
        <v>010</v>
      </c>
      <c r="E256" s="121" t="str">
        <f t="shared" si="4"/>
        <v>001</v>
      </c>
      <c r="F256" s="121" t="str">
        <f t="shared" si="4"/>
        <v>020</v>
      </c>
      <c r="G256" s="121" t="str">
        <f t="shared" si="4"/>
        <v>011</v>
      </c>
      <c r="H256" s="121" t="str">
        <f t="shared" si="4"/>
        <v>100</v>
      </c>
      <c r="I256" s="121" t="str">
        <f t="shared" si="4"/>
        <v>110</v>
      </c>
      <c r="J256" s="121" t="str">
        <f t="shared" si="4"/>
        <v>101</v>
      </c>
      <c r="K256" s="121" t="str">
        <f t="shared" si="4"/>
        <v>210</v>
      </c>
      <c r="L256" s="121" t="str">
        <f t="shared" si="4"/>
        <v>201</v>
      </c>
      <c r="M256" s="121" t="str">
        <f t="shared" si="4"/>
        <v>200</v>
      </c>
      <c r="N256" s="121" t="str">
        <f t="shared" si="4"/>
        <v>120</v>
      </c>
      <c r="O256" s="121" t="str">
        <f t="shared" si="4"/>
        <v>111</v>
      </c>
    </row>
    <row r="257" spans="2:17" hidden="1" outlineLevel="1" x14ac:dyDescent="0.25">
      <c r="B257" s="120" t="str">
        <f>B241</f>
        <v>000</v>
      </c>
      <c r="C257" s="127">
        <f>IFERROR(IF(C241="N",$D$238,IF(C241="S",$L$238,IF(C241="L",$H$238,0))),0)</f>
        <v>0.64700000000000002</v>
      </c>
      <c r="D257" s="74" t="str">
        <f t="shared" ref="D257:O257" si="5">IFERROR(IF(D241="N",$D$238,IF(D241="S",$L$238,IF(D241="L",$H$238,0))),0)</f>
        <v>0.090</v>
      </c>
      <c r="E257" s="75">
        <f t="shared" si="5"/>
        <v>0.26300000000000001</v>
      </c>
      <c r="F257" s="75">
        <f t="shared" si="5"/>
        <v>0</v>
      </c>
      <c r="G257" s="75">
        <f t="shared" si="5"/>
        <v>0</v>
      </c>
      <c r="H257" s="75">
        <f t="shared" si="5"/>
        <v>0</v>
      </c>
      <c r="I257" s="128">
        <f t="shared" si="5"/>
        <v>0</v>
      </c>
      <c r="J257" s="75">
        <f t="shared" si="5"/>
        <v>0</v>
      </c>
      <c r="K257" s="128">
        <f t="shared" si="5"/>
        <v>0</v>
      </c>
      <c r="L257" s="128">
        <f t="shared" si="5"/>
        <v>0</v>
      </c>
      <c r="M257" s="128">
        <f t="shared" si="5"/>
        <v>0</v>
      </c>
      <c r="N257" s="128">
        <f t="shared" si="5"/>
        <v>0</v>
      </c>
      <c r="O257" s="134">
        <f t="shared" si="5"/>
        <v>0</v>
      </c>
      <c r="P257" s="71" t="s">
        <v>152</v>
      </c>
      <c r="Q257" s="79">
        <f>SUM(C257:O257)</f>
        <v>0.91</v>
      </c>
    </row>
    <row r="258" spans="2:17" hidden="1" outlineLevel="1" x14ac:dyDescent="0.25">
      <c r="B258" s="120" t="str">
        <f t="shared" ref="B258:B269" si="6">B242</f>
        <v>010</v>
      </c>
      <c r="C258" s="77">
        <f t="shared" ref="C258:O269" si="7">IFERROR(IF(C242="N",$D$238,IF(C242="S",$L$238,IF(C242="L",$H$238,0))),0)</f>
        <v>0</v>
      </c>
      <c r="D258" s="71">
        <f t="shared" si="7"/>
        <v>0</v>
      </c>
      <c r="E258">
        <f t="shared" si="7"/>
        <v>0</v>
      </c>
      <c r="F258">
        <f t="shared" si="7"/>
        <v>0</v>
      </c>
      <c r="G258">
        <f t="shared" si="7"/>
        <v>0</v>
      </c>
      <c r="H258">
        <f t="shared" si="7"/>
        <v>0.64700000000000002</v>
      </c>
      <c r="I258" s="2" t="str">
        <f t="shared" si="7"/>
        <v>0.090</v>
      </c>
      <c r="J258">
        <f t="shared" si="7"/>
        <v>0.26300000000000001</v>
      </c>
      <c r="K258" s="2">
        <f t="shared" si="7"/>
        <v>0</v>
      </c>
      <c r="L258" s="2">
        <f t="shared" si="7"/>
        <v>0</v>
      </c>
      <c r="M258" s="2">
        <f t="shared" si="7"/>
        <v>0</v>
      </c>
      <c r="N258" s="2">
        <f t="shared" si="7"/>
        <v>0</v>
      </c>
      <c r="O258" s="6">
        <f t="shared" si="7"/>
        <v>0</v>
      </c>
      <c r="Q258" s="79">
        <f t="shared" ref="Q258:Q269" si="8">SUM(C258:O258)</f>
        <v>0.91</v>
      </c>
    </row>
    <row r="259" spans="2:17" hidden="1" outlineLevel="1" x14ac:dyDescent="0.25">
      <c r="B259" s="120" t="str">
        <f t="shared" si="6"/>
        <v>001</v>
      </c>
      <c r="C259" s="77">
        <f t="shared" si="7"/>
        <v>0</v>
      </c>
      <c r="D259" s="71">
        <f t="shared" si="7"/>
        <v>0.64700000000000002</v>
      </c>
      <c r="E259">
        <f t="shared" si="7"/>
        <v>0</v>
      </c>
      <c r="F259" t="str">
        <f t="shared" si="7"/>
        <v>0.090</v>
      </c>
      <c r="G259">
        <f t="shared" si="7"/>
        <v>0.26300000000000001</v>
      </c>
      <c r="H259">
        <f t="shared" si="7"/>
        <v>0</v>
      </c>
      <c r="I259" s="2">
        <f t="shared" si="7"/>
        <v>0</v>
      </c>
      <c r="J259">
        <f t="shared" si="7"/>
        <v>0</v>
      </c>
      <c r="K259" s="2">
        <f t="shared" si="7"/>
        <v>0</v>
      </c>
      <c r="L259" s="2">
        <f t="shared" si="7"/>
        <v>0</v>
      </c>
      <c r="M259" s="2">
        <f t="shared" si="7"/>
        <v>0</v>
      </c>
      <c r="N259" s="2">
        <f t="shared" si="7"/>
        <v>0</v>
      </c>
      <c r="O259" s="6">
        <f t="shared" si="7"/>
        <v>0</v>
      </c>
      <c r="Q259" s="79">
        <f t="shared" si="8"/>
        <v>0.91</v>
      </c>
    </row>
    <row r="260" spans="2:17" hidden="1" outlineLevel="1" x14ac:dyDescent="0.25">
      <c r="B260" s="120" t="str">
        <f t="shared" si="6"/>
        <v>020</v>
      </c>
      <c r="C260" s="77">
        <f t="shared" si="7"/>
        <v>0</v>
      </c>
      <c r="D260" s="71">
        <f t="shared" si="7"/>
        <v>0</v>
      </c>
      <c r="E260">
        <f t="shared" si="7"/>
        <v>0</v>
      </c>
      <c r="F260">
        <f t="shared" si="7"/>
        <v>0</v>
      </c>
      <c r="G260">
        <f t="shared" si="7"/>
        <v>0</v>
      </c>
      <c r="H260">
        <f t="shared" si="7"/>
        <v>0</v>
      </c>
      <c r="I260" s="2">
        <f t="shared" si="7"/>
        <v>0</v>
      </c>
      <c r="J260">
        <f t="shared" si="7"/>
        <v>0</v>
      </c>
      <c r="K260" s="2" t="str">
        <f t="shared" si="7"/>
        <v>0.090</v>
      </c>
      <c r="L260" s="2">
        <f t="shared" si="7"/>
        <v>0.26300000000000001</v>
      </c>
      <c r="M260" s="2">
        <f t="shared" si="7"/>
        <v>0.64700000000000002</v>
      </c>
      <c r="N260" s="2">
        <f t="shared" si="7"/>
        <v>0</v>
      </c>
      <c r="O260" s="6">
        <f t="shared" si="7"/>
        <v>0</v>
      </c>
      <c r="Q260" s="79">
        <f t="shared" si="8"/>
        <v>0.91</v>
      </c>
    </row>
    <row r="261" spans="2:17" hidden="1" outlineLevel="1" x14ac:dyDescent="0.25">
      <c r="B261" s="120" t="str">
        <f t="shared" si="6"/>
        <v>011</v>
      </c>
      <c r="C261" s="77">
        <f t="shared" si="7"/>
        <v>0</v>
      </c>
      <c r="D261" s="71">
        <f t="shared" si="7"/>
        <v>0</v>
      </c>
      <c r="E261">
        <f t="shared" si="7"/>
        <v>0</v>
      </c>
      <c r="F261">
        <f t="shared" si="7"/>
        <v>0</v>
      </c>
      <c r="G261">
        <f t="shared" si="7"/>
        <v>0</v>
      </c>
      <c r="H261">
        <f t="shared" si="7"/>
        <v>0</v>
      </c>
      <c r="I261" s="2">
        <f t="shared" si="7"/>
        <v>0.64700000000000002</v>
      </c>
      <c r="J261">
        <f t="shared" si="7"/>
        <v>0</v>
      </c>
      <c r="K261" s="2">
        <f t="shared" si="7"/>
        <v>0</v>
      </c>
      <c r="L261" s="2">
        <f t="shared" si="7"/>
        <v>0</v>
      </c>
      <c r="M261" s="2">
        <f t="shared" si="7"/>
        <v>0</v>
      </c>
      <c r="N261" s="2" t="str">
        <f t="shared" si="7"/>
        <v>0.090</v>
      </c>
      <c r="O261" s="6">
        <f t="shared" si="7"/>
        <v>0.26300000000000001</v>
      </c>
      <c r="Q261" s="79">
        <f t="shared" si="8"/>
        <v>0.91</v>
      </c>
    </row>
    <row r="262" spans="2:17" hidden="1" outlineLevel="1" x14ac:dyDescent="0.25">
      <c r="B262" s="120" t="str">
        <f t="shared" si="6"/>
        <v>100</v>
      </c>
      <c r="C262" s="77">
        <f t="shared" si="7"/>
        <v>0.64700000000000002</v>
      </c>
      <c r="D262" s="71" t="str">
        <f t="shared" si="7"/>
        <v>0.090</v>
      </c>
      <c r="E262">
        <f t="shared" si="7"/>
        <v>0.26300000000000001</v>
      </c>
      <c r="F262">
        <f t="shared" si="7"/>
        <v>0</v>
      </c>
      <c r="G262">
        <f t="shared" si="7"/>
        <v>0</v>
      </c>
      <c r="H262">
        <f t="shared" si="7"/>
        <v>0</v>
      </c>
      <c r="I262" s="2">
        <f t="shared" si="7"/>
        <v>0</v>
      </c>
      <c r="J262">
        <f t="shared" si="7"/>
        <v>0</v>
      </c>
      <c r="K262" s="2">
        <f t="shared" si="7"/>
        <v>0</v>
      </c>
      <c r="L262" s="2">
        <f t="shared" si="7"/>
        <v>0</v>
      </c>
      <c r="M262" s="2">
        <f t="shared" si="7"/>
        <v>0</v>
      </c>
      <c r="N262" s="2">
        <f t="shared" si="7"/>
        <v>0</v>
      </c>
      <c r="O262" s="6">
        <f t="shared" si="7"/>
        <v>0</v>
      </c>
      <c r="Q262" s="79">
        <f t="shared" si="8"/>
        <v>0.91</v>
      </c>
    </row>
    <row r="263" spans="2:17" hidden="1" outlineLevel="1" x14ac:dyDescent="0.25">
      <c r="B263" s="120" t="str">
        <f t="shared" si="6"/>
        <v>110</v>
      </c>
      <c r="C263" s="77">
        <f t="shared" si="7"/>
        <v>0</v>
      </c>
      <c r="D263" s="71">
        <f t="shared" si="7"/>
        <v>0</v>
      </c>
      <c r="E263">
        <f t="shared" si="7"/>
        <v>0</v>
      </c>
      <c r="F263">
        <f t="shared" si="7"/>
        <v>0</v>
      </c>
      <c r="G263">
        <f t="shared" si="7"/>
        <v>0</v>
      </c>
      <c r="H263">
        <f t="shared" si="7"/>
        <v>0.64700000000000002</v>
      </c>
      <c r="I263" s="2" t="str">
        <f t="shared" si="7"/>
        <v>0.090</v>
      </c>
      <c r="J263">
        <f t="shared" si="7"/>
        <v>0.26300000000000001</v>
      </c>
      <c r="K263" s="2">
        <f t="shared" si="7"/>
        <v>0</v>
      </c>
      <c r="L263" s="2">
        <f t="shared" si="7"/>
        <v>0</v>
      </c>
      <c r="M263" s="2">
        <f t="shared" si="7"/>
        <v>0</v>
      </c>
      <c r="N263" s="2">
        <f t="shared" si="7"/>
        <v>0</v>
      </c>
      <c r="O263" s="6">
        <f t="shared" si="7"/>
        <v>0</v>
      </c>
      <c r="Q263" s="79">
        <f t="shared" si="8"/>
        <v>0.91</v>
      </c>
    </row>
    <row r="264" spans="2:17" hidden="1" outlineLevel="1" x14ac:dyDescent="0.25">
      <c r="B264" s="120" t="str">
        <f t="shared" si="6"/>
        <v>101</v>
      </c>
      <c r="C264" s="77">
        <f t="shared" si="7"/>
        <v>0</v>
      </c>
      <c r="D264" s="71">
        <f t="shared" si="7"/>
        <v>0.64700000000000002</v>
      </c>
      <c r="E264">
        <f t="shared" si="7"/>
        <v>0</v>
      </c>
      <c r="F264" t="str">
        <f t="shared" si="7"/>
        <v>0.090</v>
      </c>
      <c r="G264">
        <f t="shared" si="7"/>
        <v>0.26300000000000001</v>
      </c>
      <c r="H264">
        <f t="shared" si="7"/>
        <v>0</v>
      </c>
      <c r="I264" s="2">
        <f t="shared" si="7"/>
        <v>0</v>
      </c>
      <c r="J264">
        <f t="shared" si="7"/>
        <v>0</v>
      </c>
      <c r="K264" s="2">
        <f t="shared" si="7"/>
        <v>0</v>
      </c>
      <c r="L264" s="2">
        <f t="shared" si="7"/>
        <v>0</v>
      </c>
      <c r="M264" s="2">
        <f t="shared" si="7"/>
        <v>0</v>
      </c>
      <c r="N264" s="2">
        <f t="shared" si="7"/>
        <v>0</v>
      </c>
      <c r="O264" s="6">
        <f t="shared" si="7"/>
        <v>0</v>
      </c>
      <c r="Q264" s="79">
        <f t="shared" si="8"/>
        <v>0.91</v>
      </c>
    </row>
    <row r="265" spans="2:17" hidden="1" outlineLevel="1" x14ac:dyDescent="0.25">
      <c r="B265" s="120" t="str">
        <f t="shared" si="6"/>
        <v>210</v>
      </c>
      <c r="C265" s="77">
        <f t="shared" si="7"/>
        <v>0</v>
      </c>
      <c r="D265" s="71">
        <f t="shared" si="7"/>
        <v>0</v>
      </c>
      <c r="E265">
        <f t="shared" si="7"/>
        <v>0</v>
      </c>
      <c r="F265">
        <f t="shared" si="7"/>
        <v>0</v>
      </c>
      <c r="G265">
        <f t="shared" si="7"/>
        <v>0</v>
      </c>
      <c r="H265">
        <f t="shared" si="7"/>
        <v>0.64700000000000002</v>
      </c>
      <c r="I265" s="2" t="str">
        <f t="shared" si="7"/>
        <v>0.090</v>
      </c>
      <c r="J265">
        <f t="shared" si="7"/>
        <v>0.26300000000000001</v>
      </c>
      <c r="K265" s="2">
        <f t="shared" si="7"/>
        <v>0</v>
      </c>
      <c r="L265" s="2">
        <f t="shared" si="7"/>
        <v>0</v>
      </c>
      <c r="M265" s="2">
        <f t="shared" si="7"/>
        <v>0</v>
      </c>
      <c r="N265" s="2">
        <f t="shared" si="7"/>
        <v>0</v>
      </c>
      <c r="O265" s="6">
        <f t="shared" si="7"/>
        <v>0</v>
      </c>
      <c r="Q265" s="79">
        <f t="shared" si="8"/>
        <v>0.91</v>
      </c>
    </row>
    <row r="266" spans="2:17" hidden="1" outlineLevel="1" x14ac:dyDescent="0.25">
      <c r="B266" s="120" t="str">
        <f t="shared" si="6"/>
        <v>201</v>
      </c>
      <c r="C266" s="77">
        <f t="shared" si="7"/>
        <v>0</v>
      </c>
      <c r="D266" s="71">
        <f t="shared" si="7"/>
        <v>0.64700000000000002</v>
      </c>
      <c r="E266">
        <f t="shared" si="7"/>
        <v>0</v>
      </c>
      <c r="F266" t="str">
        <f t="shared" si="7"/>
        <v>0.090</v>
      </c>
      <c r="G266">
        <f t="shared" si="7"/>
        <v>0.26300000000000001</v>
      </c>
      <c r="H266">
        <f t="shared" si="7"/>
        <v>0</v>
      </c>
      <c r="I266" s="2">
        <f t="shared" si="7"/>
        <v>0</v>
      </c>
      <c r="J266">
        <f t="shared" si="7"/>
        <v>0</v>
      </c>
      <c r="K266" s="2">
        <f t="shared" si="7"/>
        <v>0</v>
      </c>
      <c r="L266" s="2">
        <f t="shared" si="7"/>
        <v>0</v>
      </c>
      <c r="M266" s="2">
        <f t="shared" si="7"/>
        <v>0</v>
      </c>
      <c r="N266" s="2">
        <f t="shared" si="7"/>
        <v>0</v>
      </c>
      <c r="O266" s="6">
        <f t="shared" si="7"/>
        <v>0</v>
      </c>
      <c r="Q266" s="79">
        <f t="shared" si="8"/>
        <v>0.91</v>
      </c>
    </row>
    <row r="267" spans="2:17" hidden="1" outlineLevel="1" x14ac:dyDescent="0.25">
      <c r="B267" s="120" t="str">
        <f t="shared" si="6"/>
        <v>200</v>
      </c>
      <c r="C267" s="77">
        <f t="shared" si="7"/>
        <v>0.64700000000000002</v>
      </c>
      <c r="D267" s="71" t="str">
        <f t="shared" si="7"/>
        <v>0.090</v>
      </c>
      <c r="E267">
        <f t="shared" si="7"/>
        <v>0.26300000000000001</v>
      </c>
      <c r="F267">
        <f t="shared" si="7"/>
        <v>0</v>
      </c>
      <c r="G267">
        <f t="shared" si="7"/>
        <v>0</v>
      </c>
      <c r="H267">
        <f t="shared" si="7"/>
        <v>0</v>
      </c>
      <c r="I267" s="2">
        <f t="shared" si="7"/>
        <v>0</v>
      </c>
      <c r="J267">
        <f t="shared" si="7"/>
        <v>0</v>
      </c>
      <c r="K267" s="2">
        <f t="shared" si="7"/>
        <v>0</v>
      </c>
      <c r="L267" s="2">
        <f t="shared" si="7"/>
        <v>0</v>
      </c>
      <c r="M267" s="2">
        <f t="shared" si="7"/>
        <v>0</v>
      </c>
      <c r="N267" s="2">
        <f t="shared" si="7"/>
        <v>0</v>
      </c>
      <c r="O267" s="6">
        <f t="shared" si="7"/>
        <v>0</v>
      </c>
      <c r="Q267" s="79">
        <f t="shared" si="8"/>
        <v>0.91</v>
      </c>
    </row>
    <row r="268" spans="2:17" hidden="1" outlineLevel="1" x14ac:dyDescent="0.25">
      <c r="B268" s="120" t="str">
        <f t="shared" si="6"/>
        <v>120</v>
      </c>
      <c r="C268" s="77">
        <f t="shared" si="7"/>
        <v>0</v>
      </c>
      <c r="D268" s="71">
        <f t="shared" si="7"/>
        <v>0</v>
      </c>
      <c r="E268">
        <f t="shared" si="7"/>
        <v>0</v>
      </c>
      <c r="F268">
        <f t="shared" si="7"/>
        <v>0</v>
      </c>
      <c r="G268">
        <f t="shared" si="7"/>
        <v>0</v>
      </c>
      <c r="H268">
        <f t="shared" si="7"/>
        <v>0</v>
      </c>
      <c r="I268" s="2">
        <f t="shared" si="7"/>
        <v>0</v>
      </c>
      <c r="J268">
        <f t="shared" si="7"/>
        <v>0</v>
      </c>
      <c r="K268" s="2" t="str">
        <f t="shared" si="7"/>
        <v>0.090</v>
      </c>
      <c r="L268" s="2">
        <f t="shared" si="7"/>
        <v>0.26300000000000001</v>
      </c>
      <c r="M268" s="2">
        <f t="shared" si="7"/>
        <v>0.64700000000000002</v>
      </c>
      <c r="N268" s="2">
        <f t="shared" si="7"/>
        <v>0</v>
      </c>
      <c r="O268" s="6">
        <f t="shared" si="7"/>
        <v>0</v>
      </c>
      <c r="Q268" s="79">
        <f t="shared" si="8"/>
        <v>0.91</v>
      </c>
    </row>
    <row r="269" spans="2:17" hidden="1" outlineLevel="1" x14ac:dyDescent="0.25">
      <c r="B269" s="120" t="str">
        <f t="shared" si="6"/>
        <v>111</v>
      </c>
      <c r="C269" s="88">
        <f t="shared" si="7"/>
        <v>0</v>
      </c>
      <c r="D269" s="73">
        <f t="shared" si="7"/>
        <v>0</v>
      </c>
      <c r="E269" s="72">
        <f t="shared" si="7"/>
        <v>0</v>
      </c>
      <c r="F269" s="72">
        <f t="shared" si="7"/>
        <v>0</v>
      </c>
      <c r="G269" s="72">
        <f t="shared" si="7"/>
        <v>0</v>
      </c>
      <c r="H269" s="72">
        <f t="shared" si="7"/>
        <v>0</v>
      </c>
      <c r="I269" s="7">
        <f t="shared" si="7"/>
        <v>0.64700000000000002</v>
      </c>
      <c r="J269" s="72">
        <f t="shared" si="7"/>
        <v>0</v>
      </c>
      <c r="K269" s="7">
        <f t="shared" si="7"/>
        <v>0</v>
      </c>
      <c r="L269" s="7">
        <f t="shared" si="7"/>
        <v>0</v>
      </c>
      <c r="M269" s="7">
        <f t="shared" si="7"/>
        <v>0</v>
      </c>
      <c r="N269" s="7" t="str">
        <f t="shared" si="7"/>
        <v>0.090</v>
      </c>
      <c r="O269" s="5">
        <f t="shared" si="7"/>
        <v>0.26300000000000001</v>
      </c>
      <c r="Q269" s="79">
        <f t="shared" si="8"/>
        <v>0.91</v>
      </c>
    </row>
    <row r="270" spans="2:17" hidden="1" outlineLevel="1" x14ac:dyDescent="0.25">
      <c r="B270" s="126"/>
      <c r="D270" s="71"/>
      <c r="E270"/>
      <c r="G270"/>
    </row>
    <row r="271" spans="2:17" hidden="1" outlineLevel="1" x14ac:dyDescent="0.25">
      <c r="B271" s="126" t="s">
        <v>156</v>
      </c>
      <c r="C271">
        <f>SUM(C257:C269)</f>
        <v>1.9410000000000001</v>
      </c>
      <c r="D271" s="71">
        <f t="shared" ref="D271:O271" si="9">SUM(D257:D269)</f>
        <v>1.9410000000000001</v>
      </c>
      <c r="E271">
        <f t="shared" si="9"/>
        <v>0.78900000000000003</v>
      </c>
      <c r="F271">
        <f t="shared" si="9"/>
        <v>0</v>
      </c>
      <c r="G271">
        <f t="shared" si="9"/>
        <v>0.78900000000000003</v>
      </c>
      <c r="H271">
        <f t="shared" si="9"/>
        <v>1.9410000000000001</v>
      </c>
      <c r="I271" s="2">
        <f t="shared" si="9"/>
        <v>1.294</v>
      </c>
      <c r="J271">
        <f t="shared" si="9"/>
        <v>0.78900000000000003</v>
      </c>
      <c r="K271" s="2">
        <f t="shared" si="9"/>
        <v>0</v>
      </c>
      <c r="L271" s="2">
        <f t="shared" si="9"/>
        <v>0.52600000000000002</v>
      </c>
      <c r="M271" s="2">
        <f t="shared" si="9"/>
        <v>1.294</v>
      </c>
      <c r="N271" s="2">
        <f t="shared" si="9"/>
        <v>0</v>
      </c>
      <c r="O271" s="2">
        <f t="shared" si="9"/>
        <v>0.52600000000000002</v>
      </c>
    </row>
    <row r="272" spans="2:17" hidden="1" outlineLevel="1" x14ac:dyDescent="0.25">
      <c r="B272" s="126"/>
      <c r="D272" s="71"/>
      <c r="E272"/>
      <c r="G272"/>
    </row>
    <row r="273" spans="2:29" hidden="1" outlineLevel="1" x14ac:dyDescent="0.25">
      <c r="C273" s="75" t="s">
        <v>154</v>
      </c>
      <c r="D273" s="71" t="s">
        <v>15</v>
      </c>
      <c r="E273" s="75" t="s">
        <v>154</v>
      </c>
      <c r="F273" t="s">
        <v>24</v>
      </c>
      <c r="G273" s="75" t="s">
        <v>154</v>
      </c>
      <c r="H273" s="2" t="s">
        <v>26</v>
      </c>
      <c r="I273" s="128" t="s">
        <v>154</v>
      </c>
      <c r="J273" t="s">
        <v>37</v>
      </c>
      <c r="K273" s="128" t="s">
        <v>154</v>
      </c>
      <c r="L273" s="2" t="s">
        <v>27</v>
      </c>
      <c r="M273" s="128" t="s">
        <v>154</v>
      </c>
      <c r="N273" s="2" t="s">
        <v>109</v>
      </c>
      <c r="O273" s="128" t="s">
        <v>154</v>
      </c>
      <c r="P273" t="s">
        <v>111</v>
      </c>
      <c r="Q273" s="136" t="s">
        <v>154</v>
      </c>
      <c r="R273" t="s">
        <v>110</v>
      </c>
      <c r="S273" s="128" t="s">
        <v>154</v>
      </c>
      <c r="T273" t="s">
        <v>114</v>
      </c>
      <c r="U273" s="136" t="s">
        <v>154</v>
      </c>
      <c r="V273" t="s">
        <v>113</v>
      </c>
      <c r="W273" s="75" t="s">
        <v>154</v>
      </c>
      <c r="X273" t="s">
        <v>112</v>
      </c>
      <c r="Y273" s="136" t="s">
        <v>154</v>
      </c>
      <c r="Z273" t="s">
        <v>116</v>
      </c>
      <c r="AA273" s="136" t="s">
        <v>154</v>
      </c>
      <c r="AB273" t="s">
        <v>115</v>
      </c>
      <c r="AC273" s="79" t="s">
        <v>158</v>
      </c>
    </row>
    <row r="274" spans="2:29" hidden="1" outlineLevel="1" x14ac:dyDescent="0.25">
      <c r="B274" t="s">
        <v>15</v>
      </c>
      <c r="C274" s="75" t="s">
        <v>154</v>
      </c>
      <c r="D274" s="149">
        <v>0.64700000000000002</v>
      </c>
      <c r="E274" s="75" t="s">
        <v>154</v>
      </c>
      <c r="F274" s="74" t="s">
        <v>155</v>
      </c>
      <c r="G274" s="75" t="s">
        <v>154</v>
      </c>
      <c r="H274" s="128">
        <v>0.26300000000000001</v>
      </c>
      <c r="I274" s="128" t="s">
        <v>154</v>
      </c>
      <c r="J274" s="75">
        <v>0</v>
      </c>
      <c r="K274" s="128" t="s">
        <v>154</v>
      </c>
      <c r="L274" s="128">
        <v>0</v>
      </c>
      <c r="M274" s="128" t="s">
        <v>154</v>
      </c>
      <c r="N274" s="128">
        <v>0</v>
      </c>
      <c r="O274" s="128" t="s">
        <v>154</v>
      </c>
      <c r="P274" s="75">
        <v>0</v>
      </c>
      <c r="Q274" s="136" t="s">
        <v>154</v>
      </c>
      <c r="R274" s="75">
        <v>0</v>
      </c>
      <c r="S274" s="128" t="s">
        <v>154</v>
      </c>
      <c r="T274" s="75">
        <v>0</v>
      </c>
      <c r="U274" s="136" t="s">
        <v>154</v>
      </c>
      <c r="V274" s="75">
        <v>0</v>
      </c>
      <c r="W274" s="75" t="s">
        <v>154</v>
      </c>
      <c r="X274" s="75">
        <v>0</v>
      </c>
      <c r="Y274" s="136" t="s">
        <v>154</v>
      </c>
      <c r="Z274" s="75">
        <v>0</v>
      </c>
      <c r="AA274" s="136" t="s">
        <v>154</v>
      </c>
      <c r="AB274" s="129">
        <v>0</v>
      </c>
      <c r="AC274" s="144" t="s">
        <v>153</v>
      </c>
    </row>
    <row r="275" spans="2:29" hidden="1" outlineLevel="1" x14ac:dyDescent="0.25">
      <c r="B275" t="s">
        <v>24</v>
      </c>
      <c r="C275" t="s">
        <v>154</v>
      </c>
      <c r="D275" s="78">
        <v>0</v>
      </c>
      <c r="E275" t="s">
        <v>154</v>
      </c>
      <c r="F275">
        <v>0</v>
      </c>
      <c r="G275" t="s">
        <v>154</v>
      </c>
      <c r="H275" s="2">
        <v>0</v>
      </c>
      <c r="I275" s="2" t="s">
        <v>154</v>
      </c>
      <c r="J275">
        <v>0</v>
      </c>
      <c r="K275" s="2" t="s">
        <v>154</v>
      </c>
      <c r="L275" s="2">
        <v>0</v>
      </c>
      <c r="M275" s="2" t="s">
        <v>154</v>
      </c>
      <c r="N275" s="2">
        <v>0.64700000000000002</v>
      </c>
      <c r="O275" s="2" t="s">
        <v>154</v>
      </c>
      <c r="P275" s="71" t="s">
        <v>155</v>
      </c>
      <c r="Q275" s="79" t="s">
        <v>154</v>
      </c>
      <c r="R275">
        <v>0.26300000000000001</v>
      </c>
      <c r="S275" s="2" t="s">
        <v>154</v>
      </c>
      <c r="T275">
        <v>0</v>
      </c>
      <c r="U275" s="79" t="s">
        <v>154</v>
      </c>
      <c r="V275">
        <v>0</v>
      </c>
      <c r="W275" t="s">
        <v>154</v>
      </c>
      <c r="X275">
        <v>0</v>
      </c>
      <c r="Y275" s="79" t="s">
        <v>154</v>
      </c>
      <c r="Z275">
        <v>0</v>
      </c>
      <c r="AA275" s="79" t="s">
        <v>154</v>
      </c>
      <c r="AB275" s="4">
        <v>0</v>
      </c>
      <c r="AC275" s="144" t="s">
        <v>153</v>
      </c>
    </row>
    <row r="276" spans="2:29" hidden="1" outlineLevel="1" x14ac:dyDescent="0.25">
      <c r="B276" t="s">
        <v>26</v>
      </c>
      <c r="C276" t="s">
        <v>154</v>
      </c>
      <c r="D276" s="78">
        <v>0</v>
      </c>
      <c r="E276" t="s">
        <v>154</v>
      </c>
      <c r="F276">
        <v>0.64700000000000002</v>
      </c>
      <c r="G276" t="s">
        <v>154</v>
      </c>
      <c r="H276" s="2">
        <v>0</v>
      </c>
      <c r="I276" s="2" t="s">
        <v>154</v>
      </c>
      <c r="J276" s="71" t="s">
        <v>155</v>
      </c>
      <c r="K276" s="2" t="s">
        <v>154</v>
      </c>
      <c r="L276" s="2">
        <v>0.26300000000000001</v>
      </c>
      <c r="M276" s="2" t="s">
        <v>154</v>
      </c>
      <c r="N276" s="2">
        <v>0</v>
      </c>
      <c r="O276" s="2" t="s">
        <v>154</v>
      </c>
      <c r="P276">
        <v>0</v>
      </c>
      <c r="Q276" s="79" t="s">
        <v>154</v>
      </c>
      <c r="R276">
        <v>0</v>
      </c>
      <c r="S276" s="2" t="s">
        <v>154</v>
      </c>
      <c r="T276">
        <v>0</v>
      </c>
      <c r="U276" s="79" t="s">
        <v>154</v>
      </c>
      <c r="V276">
        <v>0</v>
      </c>
      <c r="W276" t="s">
        <v>154</v>
      </c>
      <c r="X276">
        <v>0</v>
      </c>
      <c r="Y276" s="79" t="s">
        <v>154</v>
      </c>
      <c r="Z276">
        <v>0</v>
      </c>
      <c r="AA276" s="79" t="s">
        <v>154</v>
      </c>
      <c r="AB276" s="4">
        <v>0</v>
      </c>
      <c r="AC276" s="144" t="s">
        <v>153</v>
      </c>
    </row>
    <row r="277" spans="2:29" hidden="1" outlineLevel="1" x14ac:dyDescent="0.25">
      <c r="B277" t="s">
        <v>37</v>
      </c>
      <c r="C277" t="s">
        <v>154</v>
      </c>
      <c r="D277" s="78">
        <v>0</v>
      </c>
      <c r="E277" t="s">
        <v>154</v>
      </c>
      <c r="F277">
        <v>0</v>
      </c>
      <c r="G277" t="s">
        <v>154</v>
      </c>
      <c r="H277" s="2">
        <v>0</v>
      </c>
      <c r="I277" s="2" t="s">
        <v>154</v>
      </c>
      <c r="J277">
        <v>0</v>
      </c>
      <c r="K277" s="2" t="s">
        <v>154</v>
      </c>
      <c r="L277" s="2">
        <v>0</v>
      </c>
      <c r="M277" s="2" t="s">
        <v>154</v>
      </c>
      <c r="N277" s="2">
        <v>0</v>
      </c>
      <c r="O277" s="2" t="s">
        <v>154</v>
      </c>
      <c r="P277">
        <v>0</v>
      </c>
      <c r="Q277" s="79" t="s">
        <v>154</v>
      </c>
      <c r="R277">
        <v>0</v>
      </c>
      <c r="S277" s="2" t="s">
        <v>154</v>
      </c>
      <c r="T277" s="71" t="s">
        <v>155</v>
      </c>
      <c r="U277" s="79" t="s">
        <v>154</v>
      </c>
      <c r="V277">
        <v>0</v>
      </c>
      <c r="W277" t="s">
        <v>154</v>
      </c>
      <c r="X277">
        <v>0.64700000000000002</v>
      </c>
      <c r="Y277" s="79" t="s">
        <v>154</v>
      </c>
      <c r="Z277">
        <v>0</v>
      </c>
      <c r="AA277" s="79" t="s">
        <v>154</v>
      </c>
      <c r="AB277" s="4">
        <v>0</v>
      </c>
      <c r="AC277" s="144" t="s">
        <v>153</v>
      </c>
    </row>
    <row r="278" spans="2:29" hidden="1" outlineLevel="1" x14ac:dyDescent="0.25">
      <c r="B278" t="s">
        <v>27</v>
      </c>
      <c r="C278" t="s">
        <v>154</v>
      </c>
      <c r="D278" s="78">
        <v>0</v>
      </c>
      <c r="E278" t="s">
        <v>154</v>
      </c>
      <c r="F278">
        <v>0</v>
      </c>
      <c r="G278" t="s">
        <v>154</v>
      </c>
      <c r="H278" s="2">
        <v>0</v>
      </c>
      <c r="I278" s="2" t="s">
        <v>154</v>
      </c>
      <c r="J278">
        <v>0</v>
      </c>
      <c r="K278" s="2" t="s">
        <v>154</v>
      </c>
      <c r="L278" s="2">
        <v>0</v>
      </c>
      <c r="M278" s="2" t="s">
        <v>154</v>
      </c>
      <c r="N278" s="2">
        <v>0</v>
      </c>
      <c r="O278" s="2" t="s">
        <v>154</v>
      </c>
      <c r="P278">
        <v>0.64700000000000002</v>
      </c>
      <c r="Q278" s="79" t="s">
        <v>154</v>
      </c>
      <c r="R278">
        <v>0</v>
      </c>
      <c r="S278" s="2" t="s">
        <v>154</v>
      </c>
      <c r="T278">
        <v>0</v>
      </c>
      <c r="U278" s="79" t="s">
        <v>154</v>
      </c>
      <c r="V278">
        <v>0.26300000000000001</v>
      </c>
      <c r="W278" t="s">
        <v>154</v>
      </c>
      <c r="X278">
        <v>0</v>
      </c>
      <c r="Y278" s="79" t="s">
        <v>154</v>
      </c>
      <c r="Z278" t="s">
        <v>155</v>
      </c>
      <c r="AA278" s="79" t="s">
        <v>154</v>
      </c>
      <c r="AB278" s="4">
        <v>0.26300000000000001</v>
      </c>
      <c r="AC278" s="144" t="s">
        <v>153</v>
      </c>
    </row>
    <row r="279" spans="2:29" hidden="1" outlineLevel="1" x14ac:dyDescent="0.25">
      <c r="B279" t="s">
        <v>109</v>
      </c>
      <c r="C279" t="s">
        <v>154</v>
      </c>
      <c r="D279" s="78">
        <v>0.64700000000000002</v>
      </c>
      <c r="E279" t="s">
        <v>154</v>
      </c>
      <c r="F279" s="71" t="s">
        <v>155</v>
      </c>
      <c r="G279" t="s">
        <v>154</v>
      </c>
      <c r="H279" s="2">
        <v>0.26300000000000001</v>
      </c>
      <c r="I279" s="2" t="s">
        <v>154</v>
      </c>
      <c r="J279">
        <v>0</v>
      </c>
      <c r="K279" s="2" t="s">
        <v>154</v>
      </c>
      <c r="L279" s="2">
        <v>0</v>
      </c>
      <c r="M279" s="2" t="s">
        <v>154</v>
      </c>
      <c r="N279" s="2">
        <v>0</v>
      </c>
      <c r="O279" s="2" t="s">
        <v>154</v>
      </c>
      <c r="P279">
        <v>0</v>
      </c>
      <c r="Q279" s="79" t="s">
        <v>154</v>
      </c>
      <c r="R279">
        <v>0</v>
      </c>
      <c r="S279" s="2" t="s">
        <v>154</v>
      </c>
      <c r="T279">
        <v>0</v>
      </c>
      <c r="U279" s="79" t="s">
        <v>154</v>
      </c>
      <c r="V279">
        <v>0</v>
      </c>
      <c r="W279" t="s">
        <v>154</v>
      </c>
      <c r="X279">
        <v>0</v>
      </c>
      <c r="Y279" s="79" t="s">
        <v>154</v>
      </c>
      <c r="Z279">
        <v>0</v>
      </c>
      <c r="AA279" s="79" t="s">
        <v>154</v>
      </c>
      <c r="AB279" s="4">
        <v>0</v>
      </c>
      <c r="AC279" s="144" t="s">
        <v>153</v>
      </c>
    </row>
    <row r="280" spans="2:29" hidden="1" outlineLevel="1" x14ac:dyDescent="0.25">
      <c r="B280" t="s">
        <v>111</v>
      </c>
      <c r="C280" t="s">
        <v>154</v>
      </c>
      <c r="D280" s="78">
        <v>0</v>
      </c>
      <c r="E280" t="s">
        <v>154</v>
      </c>
      <c r="F280">
        <v>0</v>
      </c>
      <c r="G280" t="s">
        <v>154</v>
      </c>
      <c r="H280" s="2">
        <v>0</v>
      </c>
      <c r="I280" s="2" t="s">
        <v>154</v>
      </c>
      <c r="J280">
        <v>0</v>
      </c>
      <c r="K280" s="2" t="s">
        <v>154</v>
      </c>
      <c r="L280" s="2">
        <v>0</v>
      </c>
      <c r="M280" s="2" t="s">
        <v>154</v>
      </c>
      <c r="N280" s="2">
        <v>0.64700000000000002</v>
      </c>
      <c r="O280" s="2" t="s">
        <v>154</v>
      </c>
      <c r="P280" s="71" t="s">
        <v>155</v>
      </c>
      <c r="Q280" s="79" t="s">
        <v>154</v>
      </c>
      <c r="R280">
        <v>0.26300000000000001</v>
      </c>
      <c r="S280" s="2" t="s">
        <v>154</v>
      </c>
      <c r="T280">
        <v>0</v>
      </c>
      <c r="U280" s="79" t="s">
        <v>154</v>
      </c>
      <c r="V280">
        <v>0</v>
      </c>
      <c r="W280" t="s">
        <v>154</v>
      </c>
      <c r="X280">
        <v>0</v>
      </c>
      <c r="Y280" s="79" t="s">
        <v>154</v>
      </c>
      <c r="Z280">
        <v>0</v>
      </c>
      <c r="AA280" s="79" t="s">
        <v>154</v>
      </c>
      <c r="AB280" s="4">
        <v>0</v>
      </c>
      <c r="AC280" s="144" t="s">
        <v>153</v>
      </c>
    </row>
    <row r="281" spans="2:29" hidden="1" outlineLevel="1" x14ac:dyDescent="0.25">
      <c r="B281" t="s">
        <v>110</v>
      </c>
      <c r="C281" t="s">
        <v>154</v>
      </c>
      <c r="D281" s="78">
        <v>0</v>
      </c>
      <c r="E281" t="s">
        <v>154</v>
      </c>
      <c r="F281">
        <v>0.64700000000000002</v>
      </c>
      <c r="G281" t="s">
        <v>154</v>
      </c>
      <c r="H281" s="2">
        <v>0</v>
      </c>
      <c r="I281" s="2" t="s">
        <v>154</v>
      </c>
      <c r="J281" s="71" t="s">
        <v>155</v>
      </c>
      <c r="K281" s="2" t="s">
        <v>154</v>
      </c>
      <c r="L281" s="2">
        <v>0.26300000000000001</v>
      </c>
      <c r="M281" s="2" t="s">
        <v>154</v>
      </c>
      <c r="N281" s="2">
        <v>0</v>
      </c>
      <c r="O281" s="2" t="s">
        <v>154</v>
      </c>
      <c r="P281">
        <v>0</v>
      </c>
      <c r="Q281" s="79" t="s">
        <v>154</v>
      </c>
      <c r="R281">
        <v>0</v>
      </c>
      <c r="S281" s="2" t="s">
        <v>154</v>
      </c>
      <c r="T281">
        <v>0</v>
      </c>
      <c r="U281" s="79" t="s">
        <v>154</v>
      </c>
      <c r="V281">
        <v>0</v>
      </c>
      <c r="W281" t="s">
        <v>154</v>
      </c>
      <c r="X281">
        <v>0</v>
      </c>
      <c r="Y281" s="79" t="s">
        <v>154</v>
      </c>
      <c r="Z281">
        <v>0</v>
      </c>
      <c r="AA281" s="79" t="s">
        <v>154</v>
      </c>
      <c r="AB281" s="4">
        <v>0</v>
      </c>
      <c r="AC281" s="144" t="s">
        <v>153</v>
      </c>
    </row>
    <row r="282" spans="2:29" hidden="1" outlineLevel="1" x14ac:dyDescent="0.25">
      <c r="B282" t="s">
        <v>114</v>
      </c>
      <c r="C282" t="s">
        <v>154</v>
      </c>
      <c r="D282" s="78">
        <v>0</v>
      </c>
      <c r="E282" t="s">
        <v>154</v>
      </c>
      <c r="F282">
        <v>0</v>
      </c>
      <c r="G282" t="s">
        <v>154</v>
      </c>
      <c r="H282" s="2">
        <v>0</v>
      </c>
      <c r="I282" s="2" t="s">
        <v>154</v>
      </c>
      <c r="J282">
        <v>0</v>
      </c>
      <c r="K282" s="2" t="s">
        <v>154</v>
      </c>
      <c r="L282" s="2">
        <v>0</v>
      </c>
      <c r="M282" s="2" t="s">
        <v>154</v>
      </c>
      <c r="N282" s="2">
        <v>0.64700000000000002</v>
      </c>
      <c r="O282" s="2" t="s">
        <v>154</v>
      </c>
      <c r="P282" s="71" t="s">
        <v>155</v>
      </c>
      <c r="Q282" s="79" t="s">
        <v>154</v>
      </c>
      <c r="R282">
        <v>0.26300000000000001</v>
      </c>
      <c r="S282" s="2" t="s">
        <v>154</v>
      </c>
      <c r="T282">
        <v>0</v>
      </c>
      <c r="U282" s="79" t="s">
        <v>154</v>
      </c>
      <c r="V282">
        <v>0</v>
      </c>
      <c r="W282" t="s">
        <v>154</v>
      </c>
      <c r="X282">
        <v>0</v>
      </c>
      <c r="Y282" s="79" t="s">
        <v>154</v>
      </c>
      <c r="Z282">
        <v>0</v>
      </c>
      <c r="AA282" s="79" t="s">
        <v>154</v>
      </c>
      <c r="AB282" s="4">
        <v>0</v>
      </c>
      <c r="AC282" s="144" t="s">
        <v>153</v>
      </c>
    </row>
    <row r="283" spans="2:29" hidden="1" outlineLevel="1" x14ac:dyDescent="0.25">
      <c r="B283" t="s">
        <v>113</v>
      </c>
      <c r="C283" t="s">
        <v>154</v>
      </c>
      <c r="D283" s="78">
        <v>0</v>
      </c>
      <c r="E283" t="s">
        <v>154</v>
      </c>
      <c r="F283">
        <v>0.64700000000000002</v>
      </c>
      <c r="G283" t="s">
        <v>154</v>
      </c>
      <c r="H283" s="2">
        <v>0</v>
      </c>
      <c r="I283" s="2" t="s">
        <v>154</v>
      </c>
      <c r="J283" s="71" t="s">
        <v>155</v>
      </c>
      <c r="K283" s="2" t="s">
        <v>154</v>
      </c>
      <c r="L283" s="2">
        <v>0.26300000000000001</v>
      </c>
      <c r="M283" s="2" t="s">
        <v>154</v>
      </c>
      <c r="N283" s="2">
        <v>0</v>
      </c>
      <c r="O283" s="2" t="s">
        <v>154</v>
      </c>
      <c r="P283">
        <v>0</v>
      </c>
      <c r="Q283" s="79" t="s">
        <v>154</v>
      </c>
      <c r="R283">
        <v>0</v>
      </c>
      <c r="S283" s="2" t="s">
        <v>154</v>
      </c>
      <c r="T283">
        <v>0</v>
      </c>
      <c r="U283" s="79" t="s">
        <v>154</v>
      </c>
      <c r="V283">
        <v>0</v>
      </c>
      <c r="W283" t="s">
        <v>154</v>
      </c>
      <c r="X283">
        <v>0</v>
      </c>
      <c r="Y283" s="79" t="s">
        <v>154</v>
      </c>
      <c r="Z283">
        <v>0</v>
      </c>
      <c r="AA283" s="79" t="s">
        <v>154</v>
      </c>
      <c r="AB283" s="4">
        <v>0</v>
      </c>
      <c r="AC283" s="144" t="s">
        <v>153</v>
      </c>
    </row>
    <row r="284" spans="2:29" hidden="1" outlineLevel="1" x14ac:dyDescent="0.25">
      <c r="B284" t="s">
        <v>112</v>
      </c>
      <c r="C284" t="s">
        <v>154</v>
      </c>
      <c r="D284" s="78">
        <v>0.64700000000000002</v>
      </c>
      <c r="E284" t="s">
        <v>154</v>
      </c>
      <c r="F284" s="71" t="s">
        <v>155</v>
      </c>
      <c r="G284" t="s">
        <v>154</v>
      </c>
      <c r="H284" s="2">
        <v>0.26300000000000001</v>
      </c>
      <c r="I284" s="2" t="s">
        <v>154</v>
      </c>
      <c r="J284">
        <v>0</v>
      </c>
      <c r="K284" s="2" t="s">
        <v>154</v>
      </c>
      <c r="L284" s="2">
        <v>0</v>
      </c>
      <c r="M284" s="2" t="s">
        <v>154</v>
      </c>
      <c r="N284" s="2">
        <v>0</v>
      </c>
      <c r="O284" s="2" t="s">
        <v>154</v>
      </c>
      <c r="P284">
        <v>0</v>
      </c>
      <c r="Q284" s="79" t="s">
        <v>154</v>
      </c>
      <c r="R284">
        <v>0</v>
      </c>
      <c r="S284" s="2" t="s">
        <v>154</v>
      </c>
      <c r="T284">
        <v>0</v>
      </c>
      <c r="U284" s="79" t="s">
        <v>154</v>
      </c>
      <c r="V284">
        <v>0</v>
      </c>
      <c r="W284" t="s">
        <v>154</v>
      </c>
      <c r="X284">
        <v>0</v>
      </c>
      <c r="Y284" s="79" t="s">
        <v>154</v>
      </c>
      <c r="Z284">
        <v>0</v>
      </c>
      <c r="AA284" s="79" t="s">
        <v>154</v>
      </c>
      <c r="AB284" s="4">
        <v>0</v>
      </c>
      <c r="AC284" s="144" t="s">
        <v>153</v>
      </c>
    </row>
    <row r="285" spans="2:29" hidden="1" outlineLevel="1" x14ac:dyDescent="0.25">
      <c r="B285" t="s">
        <v>116</v>
      </c>
      <c r="C285" t="s">
        <v>154</v>
      </c>
      <c r="D285" s="78">
        <v>0</v>
      </c>
      <c r="E285" t="s">
        <v>154</v>
      </c>
      <c r="F285">
        <v>0</v>
      </c>
      <c r="G285" t="s">
        <v>154</v>
      </c>
      <c r="H285" s="2">
        <v>0</v>
      </c>
      <c r="I285" s="2" t="s">
        <v>154</v>
      </c>
      <c r="J285">
        <v>0</v>
      </c>
      <c r="K285" s="2" t="s">
        <v>154</v>
      </c>
      <c r="L285" s="2">
        <v>0</v>
      </c>
      <c r="M285" s="2" t="s">
        <v>154</v>
      </c>
      <c r="N285" s="2">
        <v>0</v>
      </c>
      <c r="O285" s="2" t="s">
        <v>154</v>
      </c>
      <c r="P285">
        <v>0</v>
      </c>
      <c r="Q285" s="79" t="s">
        <v>154</v>
      </c>
      <c r="R285">
        <v>0</v>
      </c>
      <c r="S285" s="2" t="s">
        <v>154</v>
      </c>
      <c r="T285" s="71" t="s">
        <v>155</v>
      </c>
      <c r="U285" s="79" t="s">
        <v>154</v>
      </c>
      <c r="V285">
        <v>0</v>
      </c>
      <c r="W285" t="s">
        <v>154</v>
      </c>
      <c r="X285">
        <v>0.64700000000000002</v>
      </c>
      <c r="Y285" s="79" t="s">
        <v>154</v>
      </c>
      <c r="Z285">
        <v>0</v>
      </c>
      <c r="AA285" s="79" t="s">
        <v>154</v>
      </c>
      <c r="AB285" s="4">
        <v>0</v>
      </c>
      <c r="AC285" s="144" t="s">
        <v>153</v>
      </c>
    </row>
    <row r="286" spans="2:29" hidden="1" outlineLevel="1" x14ac:dyDescent="0.25">
      <c r="B286" t="s">
        <v>115</v>
      </c>
      <c r="C286" s="72" t="s">
        <v>154</v>
      </c>
      <c r="D286" s="76">
        <v>0</v>
      </c>
      <c r="E286" s="72" t="s">
        <v>154</v>
      </c>
      <c r="F286" s="72">
        <v>0</v>
      </c>
      <c r="G286" s="72" t="s">
        <v>154</v>
      </c>
      <c r="H286" s="7">
        <v>0</v>
      </c>
      <c r="I286" s="7" t="s">
        <v>154</v>
      </c>
      <c r="J286" s="72">
        <v>0</v>
      </c>
      <c r="K286" s="7" t="s">
        <v>154</v>
      </c>
      <c r="L286" s="7">
        <v>0</v>
      </c>
      <c r="M286" s="7" t="s">
        <v>154</v>
      </c>
      <c r="N286" s="7">
        <v>0</v>
      </c>
      <c r="O286" s="7" t="s">
        <v>154</v>
      </c>
      <c r="P286" s="72">
        <v>0.64700000000000002</v>
      </c>
      <c r="Q286" s="80" t="s">
        <v>154</v>
      </c>
      <c r="R286" s="72">
        <v>0</v>
      </c>
      <c r="S286" s="7" t="s">
        <v>154</v>
      </c>
      <c r="T286" s="72">
        <v>0</v>
      </c>
      <c r="U286" s="80" t="s">
        <v>154</v>
      </c>
      <c r="V286" s="72">
        <v>0.26300000000000001</v>
      </c>
      <c r="W286" s="72" t="s">
        <v>154</v>
      </c>
      <c r="X286" s="72">
        <v>0</v>
      </c>
      <c r="Y286" s="80" t="s">
        <v>154</v>
      </c>
      <c r="Z286" s="72" t="s">
        <v>155</v>
      </c>
      <c r="AA286" s="80" t="s">
        <v>154</v>
      </c>
      <c r="AB286" s="118">
        <v>0.26300000000000001</v>
      </c>
      <c r="AC286" s="144" t="s">
        <v>153</v>
      </c>
    </row>
    <row r="287" spans="2:29" hidden="1" outlineLevel="1" x14ac:dyDescent="0.25">
      <c r="D287" s="71"/>
      <c r="E287"/>
      <c r="G287"/>
      <c r="H287" s="2"/>
      <c r="AC287" s="144"/>
    </row>
    <row r="288" spans="2:29" hidden="1" outlineLevel="1" x14ac:dyDescent="0.25">
      <c r="B288" t="s">
        <v>156</v>
      </c>
      <c r="D288" s="71">
        <f>SUM(D274:D286)</f>
        <v>1.9410000000000001</v>
      </c>
      <c r="E288">
        <f>SUM(E274:E286)</f>
        <v>0</v>
      </c>
      <c r="F288">
        <f>SUM(F274:F286)</f>
        <v>1.9410000000000001</v>
      </c>
      <c r="G288">
        <f>SUM(G274:G286)</f>
        <v>0</v>
      </c>
      <c r="H288">
        <f>SUM(H274:H286)</f>
        <v>0.78900000000000003</v>
      </c>
      <c r="J288">
        <f>SUM(J274:J286)</f>
        <v>0</v>
      </c>
      <c r="L288" s="2">
        <f>SUM(L274:L286)</f>
        <v>0.78900000000000003</v>
      </c>
      <c r="N288" s="2">
        <f>SUM(N274:N286)</f>
        <v>1.9410000000000001</v>
      </c>
      <c r="P288">
        <f>SUM(P274:P286)</f>
        <v>1.294</v>
      </c>
      <c r="R288">
        <f>SUM(R274:R286)</f>
        <v>0.78900000000000003</v>
      </c>
      <c r="T288">
        <f>SUM(T274:T286)</f>
        <v>0</v>
      </c>
      <c r="V288">
        <f>SUM(V274:V286)</f>
        <v>0.52600000000000002</v>
      </c>
    </row>
    <row r="289" spans="2:28" hidden="1" outlineLevel="1" x14ac:dyDescent="0.25">
      <c r="B289" t="s">
        <v>157</v>
      </c>
      <c r="D289" s="71">
        <f>IF(D288=C271,1,0)</f>
        <v>1</v>
      </c>
      <c r="E289"/>
      <c r="F289">
        <f>IF(F288=D271,1,0)</f>
        <v>1</v>
      </c>
      <c r="G289"/>
      <c r="H289">
        <f>IF(H288=E271,1,0)</f>
        <v>1</v>
      </c>
      <c r="J289">
        <f>IF(J288=F271,1,0)</f>
        <v>1</v>
      </c>
      <c r="L289" s="2">
        <f>IF(L288=G271,1,0)</f>
        <v>1</v>
      </c>
      <c r="N289" s="2">
        <f>IF(N288=H271,1,0)</f>
        <v>1</v>
      </c>
      <c r="P289">
        <f>IF(P288=I271,1,0)</f>
        <v>1</v>
      </c>
      <c r="R289">
        <f>IF(R288=J271,1,0)</f>
        <v>1</v>
      </c>
      <c r="T289">
        <f>IF(T288=K271,1,0)</f>
        <v>1</v>
      </c>
      <c r="V289">
        <f>IF(V288=L271,1,0)</f>
        <v>1</v>
      </c>
      <c r="X289">
        <f>IF(X288=M271,1,0)</f>
        <v>0</v>
      </c>
      <c r="Z289">
        <f>IF(Z288=N271,1,0)</f>
        <v>1</v>
      </c>
      <c r="AB289">
        <f>IF(AB288=O271,1,0)</f>
        <v>0</v>
      </c>
    </row>
    <row r="290" spans="2:28" collapsed="1" x14ac:dyDescent="0.25">
      <c r="D290" s="71"/>
    </row>
    <row r="291" spans="2:28" x14ac:dyDescent="0.25">
      <c r="D291" s="71"/>
    </row>
    <row r="292" spans="2:28" x14ac:dyDescent="0.25">
      <c r="D292" s="71"/>
    </row>
    <row r="293" spans="2:28" x14ac:dyDescent="0.25">
      <c r="D293" s="71"/>
    </row>
    <row r="309" spans="2:3" x14ac:dyDescent="0.25">
      <c r="B309" t="s">
        <v>219</v>
      </c>
      <c r="C309" t="s">
        <v>248</v>
      </c>
    </row>
    <row r="310" spans="2:3" x14ac:dyDescent="0.25">
      <c r="B310">
        <v>1</v>
      </c>
      <c r="C310" s="159">
        <v>1</v>
      </c>
    </row>
    <row r="311" spans="2:3" x14ac:dyDescent="0.25">
      <c r="B311">
        <v>2</v>
      </c>
      <c r="C311" s="159">
        <v>1</v>
      </c>
    </row>
    <row r="312" spans="2:3" x14ac:dyDescent="0.25">
      <c r="B312">
        <v>3</v>
      </c>
      <c r="C312" s="159">
        <v>1</v>
      </c>
    </row>
    <row r="313" spans="2:3" x14ac:dyDescent="0.25">
      <c r="B313">
        <v>4</v>
      </c>
      <c r="C313" s="159">
        <v>1</v>
      </c>
    </row>
    <row r="314" spans="2:3" x14ac:dyDescent="0.25">
      <c r="B314">
        <v>5</v>
      </c>
      <c r="C314" s="159">
        <v>1</v>
      </c>
    </row>
    <row r="315" spans="2:3" x14ac:dyDescent="0.25">
      <c r="B315">
        <v>6</v>
      </c>
      <c r="C315" s="159">
        <v>1</v>
      </c>
    </row>
    <row r="316" spans="2:3" x14ac:dyDescent="0.25">
      <c r="B316">
        <v>7</v>
      </c>
      <c r="C316" s="159">
        <v>1</v>
      </c>
    </row>
    <row r="317" spans="2:3" x14ac:dyDescent="0.25">
      <c r="B317">
        <v>8</v>
      </c>
      <c r="C317" s="159">
        <v>1</v>
      </c>
    </row>
    <row r="318" spans="2:3" x14ac:dyDescent="0.25">
      <c r="B318">
        <v>9</v>
      </c>
      <c r="C318" s="159">
        <v>1</v>
      </c>
    </row>
    <row r="319" spans="2:3" x14ac:dyDescent="0.25">
      <c r="B319">
        <v>10</v>
      </c>
      <c r="C319" s="159">
        <v>1</v>
      </c>
    </row>
    <row r="320" spans="2:3" x14ac:dyDescent="0.25">
      <c r="B320">
        <v>11</v>
      </c>
      <c r="C320" s="159">
        <v>1</v>
      </c>
    </row>
    <row r="321" spans="2:3" x14ac:dyDescent="0.25">
      <c r="B321">
        <v>12</v>
      </c>
      <c r="C321" s="159">
        <v>1</v>
      </c>
    </row>
    <row r="322" spans="2:3" x14ac:dyDescent="0.25">
      <c r="B322">
        <v>13</v>
      </c>
      <c r="C322" s="159">
        <v>1</v>
      </c>
    </row>
    <row r="323" spans="2:3" x14ac:dyDescent="0.25">
      <c r="B323">
        <v>14</v>
      </c>
      <c r="C323" s="159">
        <v>1</v>
      </c>
    </row>
    <row r="324" spans="2:3" x14ac:dyDescent="0.25">
      <c r="B324">
        <v>15</v>
      </c>
      <c r="C324" s="159">
        <v>1</v>
      </c>
    </row>
    <row r="325" spans="2:3" x14ac:dyDescent="0.25">
      <c r="B325">
        <v>16</v>
      </c>
      <c r="C325" s="159">
        <v>1</v>
      </c>
    </row>
    <row r="326" spans="2:3" x14ac:dyDescent="0.25">
      <c r="B326">
        <v>17</v>
      </c>
      <c r="C326" s="159">
        <v>1</v>
      </c>
    </row>
    <row r="327" spans="2:3" x14ac:dyDescent="0.25">
      <c r="B327">
        <v>18</v>
      </c>
      <c r="C327" s="159">
        <v>1</v>
      </c>
    </row>
    <row r="328" spans="2:3" x14ac:dyDescent="0.25">
      <c r="B328">
        <v>19</v>
      </c>
      <c r="C328" s="159">
        <v>1</v>
      </c>
    </row>
    <row r="329" spans="2:3" x14ac:dyDescent="0.25">
      <c r="B329">
        <v>20</v>
      </c>
      <c r="C329" s="159">
        <v>1</v>
      </c>
    </row>
    <row r="330" spans="2:3" x14ac:dyDescent="0.25">
      <c r="B330">
        <v>21</v>
      </c>
      <c r="C330" s="159">
        <v>1</v>
      </c>
    </row>
    <row r="331" spans="2:3" x14ac:dyDescent="0.25">
      <c r="B331">
        <v>22</v>
      </c>
      <c r="C331" s="159">
        <v>1</v>
      </c>
    </row>
    <row r="332" spans="2:3" x14ac:dyDescent="0.25">
      <c r="B332">
        <v>23</v>
      </c>
      <c r="C332" s="159">
        <v>1</v>
      </c>
    </row>
    <row r="333" spans="2:3" x14ac:dyDescent="0.25">
      <c r="B333">
        <v>24</v>
      </c>
      <c r="C333" s="159">
        <v>1</v>
      </c>
    </row>
    <row r="334" spans="2:3" x14ac:dyDescent="0.25">
      <c r="B334">
        <v>25</v>
      </c>
      <c r="C334" s="159">
        <v>1</v>
      </c>
    </row>
    <row r="335" spans="2:3" x14ac:dyDescent="0.25">
      <c r="B335">
        <v>26</v>
      </c>
      <c r="C335" s="159">
        <v>1</v>
      </c>
    </row>
    <row r="336" spans="2:3" x14ac:dyDescent="0.25">
      <c r="B336">
        <v>27</v>
      </c>
      <c r="C336" s="159">
        <v>1</v>
      </c>
    </row>
    <row r="337" spans="2:3" x14ac:dyDescent="0.25">
      <c r="B337">
        <v>28</v>
      </c>
      <c r="C337" s="159">
        <v>1</v>
      </c>
    </row>
    <row r="338" spans="2:3" x14ac:dyDescent="0.25">
      <c r="B338">
        <v>29</v>
      </c>
      <c r="C338" s="159">
        <v>1</v>
      </c>
    </row>
    <row r="339" spans="2:3" x14ac:dyDescent="0.25">
      <c r="B339">
        <v>30</v>
      </c>
      <c r="C339" s="159">
        <v>1</v>
      </c>
    </row>
    <row r="340" spans="2:3" x14ac:dyDescent="0.25">
      <c r="B340">
        <v>31</v>
      </c>
      <c r="C340" s="159">
        <v>1</v>
      </c>
    </row>
    <row r="341" spans="2:3" x14ac:dyDescent="0.25">
      <c r="B341">
        <v>32</v>
      </c>
      <c r="C341" s="159">
        <v>1</v>
      </c>
    </row>
    <row r="342" spans="2:3" x14ac:dyDescent="0.25">
      <c r="B342">
        <v>33</v>
      </c>
      <c r="C342" s="159">
        <v>1</v>
      </c>
    </row>
    <row r="343" spans="2:3" x14ac:dyDescent="0.25">
      <c r="B343">
        <v>34</v>
      </c>
      <c r="C343" s="159">
        <v>1</v>
      </c>
    </row>
    <row r="344" spans="2:3" x14ac:dyDescent="0.25">
      <c r="B344">
        <v>35</v>
      </c>
      <c r="C344" s="159">
        <v>1</v>
      </c>
    </row>
    <row r="345" spans="2:3" x14ac:dyDescent="0.25">
      <c r="B345">
        <v>36</v>
      </c>
      <c r="C345" s="159">
        <v>1</v>
      </c>
    </row>
    <row r="346" spans="2:3" x14ac:dyDescent="0.25">
      <c r="B346">
        <v>37</v>
      </c>
      <c r="C346" s="159">
        <v>1</v>
      </c>
    </row>
    <row r="347" spans="2:3" x14ac:dyDescent="0.25">
      <c r="B347">
        <v>38</v>
      </c>
      <c r="C347" s="159">
        <v>1</v>
      </c>
    </row>
    <row r="348" spans="2:3" x14ac:dyDescent="0.25">
      <c r="B348">
        <v>39</v>
      </c>
      <c r="C348" s="159">
        <v>1</v>
      </c>
    </row>
    <row r="349" spans="2:3" x14ac:dyDescent="0.25">
      <c r="B349">
        <v>40</v>
      </c>
      <c r="C349" s="159">
        <v>1</v>
      </c>
    </row>
    <row r="350" spans="2:3" x14ac:dyDescent="0.25">
      <c r="B350">
        <v>41</v>
      </c>
      <c r="C350" s="159">
        <v>1</v>
      </c>
    </row>
    <row r="351" spans="2:3" x14ac:dyDescent="0.25">
      <c r="B351">
        <v>42</v>
      </c>
      <c r="C351" s="159">
        <v>0</v>
      </c>
    </row>
    <row r="352" spans="2:3" x14ac:dyDescent="0.25">
      <c r="B352">
        <v>43</v>
      </c>
      <c r="C352" s="159">
        <v>0</v>
      </c>
    </row>
    <row r="353" spans="2:3" x14ac:dyDescent="0.25">
      <c r="B353">
        <v>44</v>
      </c>
      <c r="C353" s="159">
        <v>1</v>
      </c>
    </row>
    <row r="354" spans="2:3" x14ac:dyDescent="0.25">
      <c r="B354">
        <v>45</v>
      </c>
      <c r="C354" s="159">
        <v>1</v>
      </c>
    </row>
    <row r="355" spans="2:3" x14ac:dyDescent="0.25">
      <c r="B355">
        <v>46</v>
      </c>
      <c r="C355" s="159">
        <v>1</v>
      </c>
    </row>
    <row r="356" spans="2:3" x14ac:dyDescent="0.25">
      <c r="B356">
        <v>47</v>
      </c>
      <c r="C356" s="159">
        <v>1</v>
      </c>
    </row>
    <row r="357" spans="2:3" x14ac:dyDescent="0.25">
      <c r="B357">
        <v>48</v>
      </c>
      <c r="C357" s="159">
        <v>1</v>
      </c>
    </row>
    <row r="358" spans="2:3" x14ac:dyDescent="0.25">
      <c r="B358">
        <v>49</v>
      </c>
      <c r="C358" s="159">
        <v>1</v>
      </c>
    </row>
    <row r="359" spans="2:3" x14ac:dyDescent="0.25">
      <c r="B359">
        <v>50</v>
      </c>
      <c r="C359" s="159">
        <v>1</v>
      </c>
    </row>
    <row r="360" spans="2:3" x14ac:dyDescent="0.25">
      <c r="B360">
        <v>51</v>
      </c>
      <c r="C360" s="159">
        <v>1</v>
      </c>
    </row>
    <row r="361" spans="2:3" x14ac:dyDescent="0.25">
      <c r="B361">
        <v>52</v>
      </c>
      <c r="C361" s="159">
        <v>1</v>
      </c>
    </row>
    <row r="362" spans="2:3" x14ac:dyDescent="0.25">
      <c r="B362">
        <v>53</v>
      </c>
      <c r="C362" s="159">
        <v>1</v>
      </c>
    </row>
    <row r="363" spans="2:3" x14ac:dyDescent="0.25">
      <c r="B363">
        <v>54</v>
      </c>
      <c r="C363" s="159">
        <v>1</v>
      </c>
    </row>
    <row r="364" spans="2:3" x14ac:dyDescent="0.25">
      <c r="B364">
        <v>55</v>
      </c>
      <c r="C364" s="159">
        <v>1</v>
      </c>
    </row>
  </sheetData>
  <autoFilter ref="B175:E230" xr:uid="{36DE504D-6907-4336-ADCC-C88303A11056}">
    <filterColumn colId="2">
      <filters>
        <filter val="REACHABLE"/>
      </filters>
    </filterColumn>
  </autoFilter>
  <mergeCells count="4">
    <mergeCell ref="A1:Q1"/>
    <mergeCell ref="B232:D232"/>
    <mergeCell ref="B233:C233"/>
    <mergeCell ref="B234:C234"/>
  </mergeCells>
  <phoneticPr fontId="11" type="noConversion"/>
  <conditionalFormatting sqref="C176:C220 D237 D231 C222:C230">
    <cfRule type="duplicateValues" dxfId="24" priority="641"/>
  </conditionalFormatting>
  <conditionalFormatting sqref="C211:C220 D172:D173 C174:C183 D231 C222:C230 C193:C205">
    <cfRule type="duplicateValues" dxfId="23" priority="628"/>
  </conditionalFormatting>
  <conditionalFormatting sqref="C211:C220 D237 D231 C222:C230 C190:C205 D172:D173 C174:C188">
    <cfRule type="duplicateValues" dxfId="22" priority="634"/>
  </conditionalFormatting>
  <conditionalFormatting sqref="C222:C230 C211:C220 C174:C205">
    <cfRule type="duplicateValues" dxfId="21" priority="81"/>
  </conditionalFormatting>
  <conditionalFormatting sqref="D231 C175:C230">
    <cfRule type="duplicateValues" dxfId="20" priority="645"/>
  </conditionalFormatting>
  <conditionalFormatting sqref="H176:H220 H222:H230">
    <cfRule type="duplicateValues" dxfId="19" priority="4"/>
  </conditionalFormatting>
  <conditionalFormatting sqref="H176:H230">
    <cfRule type="duplicateValues" dxfId="18" priority="5"/>
  </conditionalFormatting>
  <conditionalFormatting sqref="H211:H220 H176:H183 H222:H230 H193:H205">
    <cfRule type="duplicateValues" dxfId="17" priority="2"/>
  </conditionalFormatting>
  <conditionalFormatting sqref="H211:H220 H222:H230 H190:H205 H176:H188">
    <cfRule type="duplicateValues" dxfId="16" priority="3"/>
  </conditionalFormatting>
  <conditionalFormatting sqref="H222:H230 H211:H220 H176:H205">
    <cfRule type="duplicateValues" dxfId="15" priority="1"/>
  </conditionalFormatting>
  <hyperlinks>
    <hyperlink ref="AC274" r:id="rId1" xr:uid="{8AFACA19-B940-4C76-9BEA-32671E37F757}"/>
    <hyperlink ref="AC275:AC286" r:id="rId2" display="\\" xr:uid="{527191E7-F01B-41D4-B151-D9C191E3AC32}"/>
  </hyperlinks>
  <pageMargins left="0.7" right="0.7" top="0.75" bottom="0.75" header="0.3" footer="0.3"/>
  <pageSetup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31A-7AA6-430A-B503-DE1A0EF888D5}">
  <sheetPr filterMode="1"/>
  <dimension ref="A1:AL364"/>
  <sheetViews>
    <sheetView tabSelected="1" topLeftCell="A100" zoomScaleNormal="100" workbookViewId="0">
      <selection activeCell="I175" sqref="I175"/>
    </sheetView>
  </sheetViews>
  <sheetFormatPr defaultColWidth="8.85546875" defaultRowHeight="15" outlineLevelRow="1" x14ac:dyDescent="0.25"/>
  <cols>
    <col min="1" max="1" width="8.85546875" customWidth="1"/>
    <col min="2" max="2" width="8.28515625" customWidth="1"/>
    <col min="3" max="3" width="10.28515625" bestFit="1" customWidth="1"/>
    <col min="4" max="4" width="10.7109375" bestFit="1" customWidth="1"/>
    <col min="5" max="5" width="6.28515625" style="2" customWidth="1"/>
    <col min="6" max="6" width="6.28515625" customWidth="1"/>
    <col min="7" max="7" width="7.42578125" style="2" customWidth="1"/>
    <col min="8" max="8" width="6.28515625" customWidth="1"/>
    <col min="9" max="9" width="6" style="2" bestFit="1" customWidth="1"/>
    <col min="10" max="10" width="8.42578125" bestFit="1" customWidth="1"/>
    <col min="11" max="11" width="6.5703125" style="2" bestFit="1" customWidth="1"/>
    <col min="12" max="12" width="8.42578125" style="2" bestFit="1" customWidth="1"/>
    <col min="13" max="13" width="6" style="2" bestFit="1" customWidth="1"/>
    <col min="14" max="14" width="8.42578125" style="2" bestFit="1" customWidth="1"/>
    <col min="15" max="15" width="6" style="2" bestFit="1" customWidth="1"/>
    <col min="16" max="16" width="8" customWidth="1"/>
    <col min="17" max="17" width="6" style="79" bestFit="1" customWidth="1"/>
    <col min="18" max="18" width="7.7109375" customWidth="1"/>
    <col min="19" max="19" width="6.140625" style="2" customWidth="1"/>
    <col min="20" max="20" width="5.7109375" customWidth="1"/>
    <col min="21" max="21" width="6.28515625" style="79" customWidth="1"/>
    <col min="22" max="22" width="6.5703125" customWidth="1"/>
    <col min="23" max="24" width="7.7109375" customWidth="1"/>
    <col min="25" max="25" width="6.28515625" style="79" customWidth="1"/>
    <col min="26" max="26" width="7.28515625" customWidth="1"/>
    <col min="27" max="27" width="5.85546875" style="79" customWidth="1"/>
    <col min="28" max="28" width="5.5703125" customWidth="1"/>
    <col min="29" max="29" width="6.28515625" style="79" customWidth="1"/>
    <col min="30" max="30" width="6.7109375" customWidth="1"/>
    <col min="31" max="31" width="6.140625" style="79" customWidth="1"/>
    <col min="32" max="32" width="6.85546875" customWidth="1"/>
    <col min="33" max="33" width="5.7109375" style="79" customWidth="1"/>
    <col min="34" max="34" width="5.28515625" customWidth="1"/>
    <col min="35" max="35" width="6.28515625" customWidth="1"/>
    <col min="36" max="37" width="7.28515625" customWidth="1"/>
  </cols>
  <sheetData>
    <row r="1" spans="1:38" ht="15.75" x14ac:dyDescent="0.25">
      <c r="A1" s="181" t="s">
        <v>253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38" x14ac:dyDescent="0.25">
      <c r="A2" s="83" t="s">
        <v>128</v>
      </c>
      <c r="B2" s="84" t="s">
        <v>127</v>
      </c>
      <c r="C2" s="84" t="s">
        <v>161</v>
      </c>
      <c r="D2" s="84" t="s">
        <v>162</v>
      </c>
      <c r="E2" s="83" t="s">
        <v>124</v>
      </c>
      <c r="F2" s="83" t="s">
        <v>125</v>
      </c>
      <c r="G2" s="84" t="s">
        <v>126</v>
      </c>
      <c r="AD2">
        <v>22000</v>
      </c>
      <c r="AE2" s="164" t="s">
        <v>205</v>
      </c>
      <c r="AF2" s="1" t="s">
        <v>249</v>
      </c>
      <c r="AG2" s="164" t="s">
        <v>250</v>
      </c>
    </row>
    <row r="3" spans="1:38" x14ac:dyDescent="0.25">
      <c r="A3" s="78" t="s">
        <v>106</v>
      </c>
      <c r="B3" s="77" t="s">
        <v>1</v>
      </c>
      <c r="C3" s="87" t="s">
        <v>24</v>
      </c>
      <c r="D3" s="87" t="s">
        <v>163</v>
      </c>
      <c r="E3" s="78" t="s">
        <v>121</v>
      </c>
      <c r="F3" s="78">
        <v>9.1399999999999995E-2</v>
      </c>
      <c r="G3" s="85">
        <f>F3</f>
        <v>9.1399999999999995E-2</v>
      </c>
      <c r="M3" s="79"/>
      <c r="S3" s="79"/>
      <c r="AD3">
        <v>21010</v>
      </c>
    </row>
    <row r="4" spans="1:38" x14ac:dyDescent="0.25">
      <c r="A4" s="78" t="s">
        <v>107</v>
      </c>
      <c r="B4" s="77">
        <v>737</v>
      </c>
      <c r="C4" s="87" t="s">
        <v>26</v>
      </c>
      <c r="D4" s="87" t="s">
        <v>164</v>
      </c>
      <c r="E4" s="78" t="s">
        <v>122</v>
      </c>
      <c r="F4" s="78">
        <v>0.26429999999999998</v>
      </c>
      <c r="G4" s="85">
        <f t="shared" ref="G4:G5" si="0">F4</f>
        <v>0.26429999999999998</v>
      </c>
      <c r="J4" s="116"/>
      <c r="K4" s="2" t="s">
        <v>146</v>
      </c>
      <c r="M4" s="79"/>
    </row>
    <row r="5" spans="1:38" x14ac:dyDescent="0.25">
      <c r="A5" s="76" t="s">
        <v>108</v>
      </c>
      <c r="B5" s="88" t="s">
        <v>63</v>
      </c>
      <c r="C5" s="89" t="s">
        <v>15</v>
      </c>
      <c r="D5" s="89" t="s">
        <v>160</v>
      </c>
      <c r="E5" s="76" t="s">
        <v>123</v>
      </c>
      <c r="F5" s="76">
        <v>0.64429999999999998</v>
      </c>
      <c r="G5" s="86">
        <f t="shared" si="0"/>
        <v>0.64429999999999998</v>
      </c>
      <c r="M5" s="79"/>
      <c r="S5" s="79"/>
    </row>
    <row r="6" spans="1:38" x14ac:dyDescent="0.25">
      <c r="A6" s="71"/>
      <c r="C6" s="71"/>
      <c r="D6" s="71"/>
      <c r="E6" s="71"/>
      <c r="F6" s="71"/>
      <c r="G6" s="130"/>
      <c r="M6" s="79"/>
      <c r="S6" s="79"/>
    </row>
    <row r="7" spans="1:38" x14ac:dyDescent="0.25">
      <c r="A7" s="71" t="s">
        <v>165</v>
      </c>
      <c r="B7">
        <v>56</v>
      </c>
      <c r="C7" s="131" t="s">
        <v>251</v>
      </c>
      <c r="D7">
        <v>39</v>
      </c>
      <c r="E7" s="131" t="s">
        <v>252</v>
      </c>
      <c r="F7" s="71"/>
      <c r="G7" s="130"/>
      <c r="M7" s="79"/>
      <c r="S7" s="79"/>
    </row>
    <row r="8" spans="1:38" x14ac:dyDescent="0.25">
      <c r="A8" s="71" t="s">
        <v>222</v>
      </c>
      <c r="C8" s="71"/>
      <c r="E8" s="71" t="s">
        <v>223</v>
      </c>
      <c r="F8" s="71"/>
      <c r="G8" s="130"/>
      <c r="M8" s="79"/>
      <c r="S8" s="79"/>
    </row>
    <row r="9" spans="1:38" x14ac:dyDescent="0.25">
      <c r="A9" s="71"/>
      <c r="C9" s="71"/>
      <c r="D9" s="132"/>
      <c r="F9" s="71"/>
    </row>
    <row r="10" spans="1:38" s="25" customFormat="1" x14ac:dyDescent="0.25">
      <c r="A10" s="150" t="s">
        <v>220</v>
      </c>
      <c r="B10" s="28"/>
      <c r="C10" s="150" t="s">
        <v>224</v>
      </c>
      <c r="D10" s="28"/>
      <c r="E10" s="7" t="s">
        <v>225</v>
      </c>
      <c r="F10" s="28"/>
      <c r="G10" s="7" t="s">
        <v>226</v>
      </c>
      <c r="H10" s="28"/>
      <c r="I10" s="7" t="s">
        <v>227</v>
      </c>
      <c r="J10" s="28"/>
      <c r="K10" s="7" t="s">
        <v>228</v>
      </c>
      <c r="L10" s="28"/>
      <c r="M10" s="7" t="s">
        <v>229</v>
      </c>
      <c r="N10" s="28"/>
      <c r="O10" s="7" t="s">
        <v>230</v>
      </c>
      <c r="P10" s="28"/>
      <c r="Q10" s="7" t="s">
        <v>231</v>
      </c>
      <c r="R10" s="28"/>
      <c r="S10" s="7" t="s">
        <v>232</v>
      </c>
      <c r="T10" s="28"/>
      <c r="U10" s="7" t="s">
        <v>233</v>
      </c>
      <c r="V10" s="28"/>
      <c r="W10" s="7" t="s">
        <v>234</v>
      </c>
      <c r="X10" s="28"/>
      <c r="Y10" s="7" t="s">
        <v>235</v>
      </c>
      <c r="Z10" s="28"/>
      <c r="AA10" s="7" t="s">
        <v>236</v>
      </c>
      <c r="AB10" s="28"/>
      <c r="AC10" s="7" t="s">
        <v>237</v>
      </c>
      <c r="AD10" s="28"/>
      <c r="AE10" s="7" t="s">
        <v>238</v>
      </c>
      <c r="AF10" s="28"/>
      <c r="AG10" s="7" t="s">
        <v>239</v>
      </c>
      <c r="AH10" s="28"/>
      <c r="AI10" s="7" t="s">
        <v>240</v>
      </c>
      <c r="AJ10" s="28"/>
      <c r="AK10" s="7" t="s">
        <v>241</v>
      </c>
      <c r="AL10" s="28"/>
    </row>
    <row r="11" spans="1:38" x14ac:dyDescent="0.25">
      <c r="A11" s="71"/>
      <c r="C11" s="71"/>
      <c r="D11" s="71"/>
      <c r="E11" s="71"/>
      <c r="F11" s="71"/>
      <c r="G11" s="71"/>
      <c r="H11" s="71"/>
      <c r="I11" s="79"/>
      <c r="J11" s="71" t="s">
        <v>106</v>
      </c>
      <c r="K11" s="172" t="s">
        <v>174</v>
      </c>
      <c r="L11" s="177" t="s">
        <v>266</v>
      </c>
      <c r="M11" s="139"/>
      <c r="N11" s="139"/>
      <c r="O11" s="139"/>
      <c r="P11" s="138"/>
      <c r="Q11" s="139"/>
      <c r="R11" s="138"/>
      <c r="S11" s="139"/>
      <c r="T11" s="138"/>
      <c r="U11" s="139"/>
      <c r="V11" s="138"/>
      <c r="W11" s="138"/>
      <c r="X11" s="138"/>
      <c r="Y11" s="139"/>
      <c r="Z11" s="138"/>
      <c r="AA11" s="139"/>
      <c r="AB11" s="138"/>
      <c r="AC11" s="139"/>
      <c r="AD11" s="138"/>
      <c r="AE11" s="139"/>
      <c r="AF11" s="138"/>
      <c r="AG11" s="139"/>
      <c r="AH11" s="138"/>
      <c r="AI11" s="138"/>
      <c r="AJ11" s="138"/>
      <c r="AK11" s="138"/>
      <c r="AL11" s="138"/>
    </row>
    <row r="12" spans="1:38" x14ac:dyDescent="0.25">
      <c r="B12" s="71"/>
      <c r="G12" s="79"/>
      <c r="H12" s="71" t="s">
        <v>106</v>
      </c>
      <c r="I12" s="172" t="s">
        <v>174</v>
      </c>
      <c r="J12" s="71" t="s">
        <v>107</v>
      </c>
      <c r="K12" s="172" t="s">
        <v>173</v>
      </c>
      <c r="L12" s="177" t="s">
        <v>265</v>
      </c>
      <c r="M12" s="139"/>
      <c r="N12" s="143"/>
      <c r="O12" s="143"/>
      <c r="P12" s="138"/>
      <c r="Q12" s="139"/>
      <c r="R12" s="138"/>
      <c r="S12" s="139"/>
      <c r="T12" s="138"/>
      <c r="U12" s="139"/>
      <c r="V12" s="138"/>
      <c r="W12" s="138"/>
      <c r="X12" s="138"/>
      <c r="Y12" s="139"/>
      <c r="Z12" s="138"/>
      <c r="AA12" s="139"/>
      <c r="AB12" s="138"/>
      <c r="AC12" s="139"/>
      <c r="AD12" s="138"/>
      <c r="AE12" s="139"/>
      <c r="AF12" s="138"/>
      <c r="AG12" s="139"/>
      <c r="AH12" s="138"/>
      <c r="AI12" s="138"/>
      <c r="AJ12" s="138"/>
      <c r="AK12" s="138"/>
      <c r="AL12" s="138"/>
    </row>
    <row r="13" spans="1:38" x14ac:dyDescent="0.25">
      <c r="B13" s="71"/>
      <c r="G13" s="79"/>
      <c r="H13" s="73"/>
      <c r="I13" s="175" t="s">
        <v>266</v>
      </c>
      <c r="J13" s="73" t="s">
        <v>108</v>
      </c>
      <c r="K13" s="176" t="s">
        <v>172</v>
      </c>
      <c r="L13" s="178" t="s">
        <v>264</v>
      </c>
      <c r="M13" s="141"/>
      <c r="N13" s="146"/>
      <c r="O13" s="146"/>
      <c r="P13" s="138"/>
      <c r="Q13" s="139"/>
      <c r="R13" s="138"/>
      <c r="S13" s="139"/>
      <c r="T13" s="138"/>
      <c r="U13" s="139"/>
      <c r="V13" s="138"/>
      <c r="W13" s="138"/>
      <c r="X13" s="138"/>
      <c r="Y13" s="139"/>
      <c r="Z13" s="138"/>
      <c r="AA13" s="139"/>
      <c r="AB13" s="138"/>
      <c r="AC13" s="139"/>
      <c r="AD13" s="138"/>
      <c r="AE13" s="139"/>
      <c r="AF13" s="138"/>
      <c r="AG13" s="139"/>
      <c r="AH13" s="138"/>
      <c r="AI13" s="138"/>
      <c r="AJ13" s="138"/>
      <c r="AK13" s="138"/>
      <c r="AL13" s="138"/>
    </row>
    <row r="14" spans="1:38" x14ac:dyDescent="0.25">
      <c r="B14" s="71"/>
      <c r="G14" s="79"/>
      <c r="H14" s="71"/>
      <c r="I14" s="79"/>
      <c r="J14" s="71" t="s">
        <v>106</v>
      </c>
      <c r="K14" s="172" t="s">
        <v>177</v>
      </c>
      <c r="L14" s="177" t="s">
        <v>263</v>
      </c>
      <c r="M14" s="139"/>
      <c r="N14" s="143"/>
      <c r="O14" s="143"/>
      <c r="P14" s="138"/>
      <c r="Q14" s="139"/>
      <c r="R14" s="138"/>
      <c r="S14" s="139"/>
      <c r="T14" s="138"/>
      <c r="U14" s="139"/>
      <c r="V14" s="138"/>
      <c r="W14" s="138"/>
      <c r="X14" s="138"/>
      <c r="Y14" s="139"/>
      <c r="Z14" s="138"/>
      <c r="AA14" s="139"/>
      <c r="AB14" s="138"/>
      <c r="AC14" s="139"/>
      <c r="AD14" s="138"/>
      <c r="AE14" s="139"/>
      <c r="AF14" s="138"/>
      <c r="AG14" s="139"/>
      <c r="AH14" s="138"/>
      <c r="AI14" s="138"/>
      <c r="AJ14" s="138"/>
      <c r="AK14" s="138"/>
      <c r="AL14" s="138"/>
    </row>
    <row r="15" spans="1:38" x14ac:dyDescent="0.25">
      <c r="B15" s="71"/>
      <c r="F15" t="s">
        <v>106</v>
      </c>
      <c r="G15" s="172" t="s">
        <v>174</v>
      </c>
      <c r="H15" s="71" t="s">
        <v>107</v>
      </c>
      <c r="I15" s="172" t="s">
        <v>173</v>
      </c>
      <c r="J15" s="71" t="s">
        <v>107</v>
      </c>
      <c r="K15" s="172" t="s">
        <v>176</v>
      </c>
      <c r="L15" s="177" t="s">
        <v>262</v>
      </c>
      <c r="M15" s="139"/>
      <c r="N15" s="143"/>
      <c r="O15" s="143"/>
      <c r="P15" s="138"/>
      <c r="Q15" s="139"/>
      <c r="R15" s="138"/>
      <c r="S15" s="139"/>
      <c r="T15" s="138"/>
      <c r="U15" s="139"/>
      <c r="V15" s="138"/>
      <c r="W15" s="138"/>
      <c r="X15" s="138"/>
      <c r="Y15" s="139"/>
      <c r="Z15" s="138"/>
      <c r="AA15" s="139"/>
      <c r="AB15" s="138"/>
      <c r="AC15" s="139"/>
      <c r="AD15" s="138"/>
      <c r="AE15" s="139"/>
      <c r="AF15" s="138"/>
      <c r="AG15" s="139"/>
      <c r="AH15" s="138"/>
      <c r="AI15" s="138"/>
      <c r="AJ15" s="138"/>
      <c r="AK15" s="138"/>
      <c r="AL15" s="138"/>
    </row>
    <row r="16" spans="1:38" x14ac:dyDescent="0.25">
      <c r="B16" s="71"/>
      <c r="G16" s="175" t="s">
        <v>266</v>
      </c>
      <c r="H16" s="73"/>
      <c r="I16" s="175" t="s">
        <v>265</v>
      </c>
      <c r="J16" s="73" t="s">
        <v>108</v>
      </c>
      <c r="K16" s="176" t="s">
        <v>175</v>
      </c>
      <c r="L16" s="178" t="s">
        <v>261</v>
      </c>
      <c r="M16" s="141"/>
      <c r="N16" s="146"/>
      <c r="O16" s="146"/>
      <c r="P16" s="138"/>
      <c r="Q16" s="139"/>
      <c r="R16" s="138"/>
      <c r="S16" s="139"/>
      <c r="T16" s="138"/>
      <c r="U16" s="139"/>
      <c r="V16" s="138"/>
      <c r="W16" s="138"/>
      <c r="X16" s="138"/>
      <c r="Y16" s="139"/>
      <c r="Z16" s="138"/>
      <c r="AA16" s="139"/>
      <c r="AB16" s="138"/>
      <c r="AC16" s="139"/>
      <c r="AD16" s="138"/>
      <c r="AE16" s="139"/>
      <c r="AF16" s="138"/>
      <c r="AG16" s="139"/>
      <c r="AH16" s="138"/>
      <c r="AI16" s="138"/>
      <c r="AJ16" s="138"/>
      <c r="AK16" s="138"/>
      <c r="AL16" s="138"/>
    </row>
    <row r="17" spans="2:38" x14ac:dyDescent="0.25">
      <c r="B17" s="71"/>
      <c r="G17" s="79"/>
      <c r="H17" s="71"/>
      <c r="I17" s="79"/>
      <c r="J17" s="71"/>
      <c r="K17" s="79"/>
      <c r="L17" s="79"/>
      <c r="M17" s="79"/>
      <c r="P17" s="71" t="s">
        <v>106</v>
      </c>
      <c r="Q17" s="135" t="s">
        <v>196</v>
      </c>
      <c r="R17" s="138"/>
      <c r="S17" s="139"/>
      <c r="T17" s="138"/>
      <c r="U17" s="139"/>
      <c r="V17" s="138"/>
      <c r="W17" s="138"/>
      <c r="X17" s="138"/>
      <c r="Y17" s="139"/>
      <c r="Z17" s="138"/>
      <c r="AA17" s="139"/>
      <c r="AB17" s="138"/>
      <c r="AC17" s="139"/>
      <c r="AD17" s="138"/>
      <c r="AE17" s="139"/>
      <c r="AF17" s="138"/>
      <c r="AG17" s="139"/>
      <c r="AH17" s="138"/>
      <c r="AI17" s="138"/>
      <c r="AJ17" s="138"/>
      <c r="AK17" s="138"/>
      <c r="AL17" s="138"/>
    </row>
    <row r="18" spans="2:38" x14ac:dyDescent="0.25">
      <c r="B18" s="71"/>
      <c r="G18" s="79"/>
      <c r="H18" s="71"/>
      <c r="I18" s="79"/>
      <c r="J18" s="71"/>
      <c r="K18" s="79"/>
      <c r="L18" s="79"/>
      <c r="M18" s="79"/>
      <c r="N18" s="71" t="s">
        <v>106</v>
      </c>
      <c r="O18" s="172" t="s">
        <v>182</v>
      </c>
      <c r="P18" s="73" t="s">
        <v>107</v>
      </c>
      <c r="Q18" s="137" t="s">
        <v>197</v>
      </c>
      <c r="R18" s="140"/>
      <c r="S18" s="141"/>
      <c r="T18" s="140"/>
      <c r="U18" s="141"/>
      <c r="V18" s="138"/>
      <c r="W18" s="138"/>
      <c r="X18" s="138"/>
      <c r="Y18" s="139"/>
      <c r="Z18" s="138"/>
      <c r="AA18" s="139"/>
      <c r="AB18" s="138"/>
      <c r="AC18" s="139"/>
      <c r="AD18" s="138"/>
      <c r="AE18" s="139"/>
      <c r="AF18" s="138"/>
      <c r="AG18" s="139"/>
      <c r="AH18" s="138"/>
      <c r="AI18" s="138"/>
      <c r="AJ18" s="138"/>
      <c r="AK18" s="138"/>
      <c r="AL18" s="138"/>
    </row>
    <row r="19" spans="2:38" x14ac:dyDescent="0.25">
      <c r="B19" s="71"/>
      <c r="G19" s="79"/>
      <c r="H19" s="71"/>
      <c r="I19" s="79"/>
      <c r="J19" s="71"/>
      <c r="K19" s="79"/>
      <c r="L19" s="79"/>
      <c r="M19" s="79"/>
      <c r="N19" s="71"/>
      <c r="O19" s="173" t="s">
        <v>275</v>
      </c>
      <c r="P19" s="71"/>
      <c r="Q19"/>
      <c r="S19" s="79"/>
      <c r="T19" s="73" t="s">
        <v>106</v>
      </c>
      <c r="U19" s="176" t="s">
        <v>170</v>
      </c>
      <c r="V19" s="179" t="s">
        <v>277</v>
      </c>
      <c r="W19" s="140"/>
      <c r="X19" s="140"/>
      <c r="Y19" s="141"/>
      <c r="Z19" s="140"/>
      <c r="AA19" s="139"/>
      <c r="AB19" s="138"/>
      <c r="AC19" s="139"/>
      <c r="AD19" s="138"/>
      <c r="AE19" s="139"/>
      <c r="AF19" s="138"/>
      <c r="AG19" s="139"/>
      <c r="AH19" s="138"/>
      <c r="AI19" s="138"/>
      <c r="AJ19" s="138"/>
      <c r="AK19" s="138"/>
      <c r="AL19" s="138"/>
    </row>
    <row r="20" spans="2:38" x14ac:dyDescent="0.25">
      <c r="B20" s="71"/>
      <c r="G20" s="79"/>
      <c r="H20" s="71"/>
      <c r="I20" s="79"/>
      <c r="J20" s="71"/>
      <c r="K20" s="79"/>
      <c r="L20" s="79"/>
      <c r="M20" s="79"/>
      <c r="N20" s="71"/>
      <c r="O20" s="79"/>
      <c r="P20" s="71"/>
      <c r="Q20"/>
      <c r="S20" s="79"/>
      <c r="T20" s="71"/>
      <c r="X20" s="71" t="s">
        <v>106</v>
      </c>
      <c r="Y20" s="172" t="s">
        <v>182</v>
      </c>
      <c r="Z20" s="177" t="s">
        <v>275</v>
      </c>
      <c r="AA20" s="93"/>
      <c r="AB20" s="138"/>
      <c r="AC20" s="139"/>
      <c r="AD20" s="138"/>
      <c r="AE20" s="139"/>
      <c r="AF20" s="138"/>
      <c r="AG20" s="139"/>
      <c r="AH20" s="138"/>
      <c r="AI20" s="138"/>
      <c r="AJ20" s="138"/>
      <c r="AK20" s="138"/>
      <c r="AL20" s="138"/>
    </row>
    <row r="21" spans="2:38" x14ac:dyDescent="0.25">
      <c r="B21" s="71"/>
      <c r="G21" s="79"/>
      <c r="H21" s="71"/>
      <c r="I21" s="79"/>
      <c r="J21" s="71"/>
      <c r="K21" s="79"/>
      <c r="L21" s="79"/>
      <c r="M21" s="79"/>
      <c r="N21" s="71"/>
      <c r="O21" s="79"/>
      <c r="P21" s="71"/>
      <c r="Q21"/>
      <c r="S21" s="79"/>
      <c r="T21" s="71"/>
      <c r="U21"/>
      <c r="V21" s="71" t="s">
        <v>106</v>
      </c>
      <c r="W21" s="172" t="s">
        <v>177</v>
      </c>
      <c r="X21" s="71" t="s">
        <v>107</v>
      </c>
      <c r="Y21" s="172" t="s">
        <v>181</v>
      </c>
      <c r="Z21" s="177" t="s">
        <v>276</v>
      </c>
      <c r="AA21" s="93"/>
      <c r="AB21" s="138"/>
      <c r="AC21" s="139"/>
      <c r="AD21" s="138"/>
      <c r="AE21" s="139"/>
      <c r="AF21" s="138"/>
      <c r="AG21" s="139"/>
      <c r="AH21" s="138"/>
      <c r="AI21" s="138"/>
      <c r="AJ21" s="138"/>
      <c r="AK21" s="138"/>
      <c r="AL21" s="138"/>
    </row>
    <row r="22" spans="2:38" x14ac:dyDescent="0.25">
      <c r="B22" s="71"/>
      <c r="G22" s="79"/>
      <c r="H22" s="71"/>
      <c r="I22" s="79"/>
      <c r="J22" s="71"/>
      <c r="K22" s="79"/>
      <c r="L22" s="79"/>
      <c r="M22" s="79"/>
      <c r="N22" s="71"/>
      <c r="O22" s="79"/>
      <c r="P22" s="71"/>
      <c r="Q22"/>
      <c r="S22" s="79"/>
      <c r="T22" s="71"/>
      <c r="U22"/>
      <c r="V22" s="73"/>
      <c r="W22" s="175" t="s">
        <v>263</v>
      </c>
      <c r="X22" s="73" t="s">
        <v>108</v>
      </c>
      <c r="Y22" s="176" t="s">
        <v>170</v>
      </c>
      <c r="Z22" s="178" t="s">
        <v>277</v>
      </c>
      <c r="AA22" s="98"/>
      <c r="AB22" s="138"/>
      <c r="AC22" s="139"/>
      <c r="AD22" s="138"/>
      <c r="AE22" s="139"/>
      <c r="AF22" s="138"/>
      <c r="AG22" s="139"/>
      <c r="AH22" s="138"/>
      <c r="AI22" s="138"/>
      <c r="AJ22" s="138"/>
      <c r="AK22" s="138"/>
      <c r="AL22" s="138"/>
    </row>
    <row r="23" spans="2:38" x14ac:dyDescent="0.25">
      <c r="B23" s="71"/>
      <c r="G23" s="79"/>
      <c r="H23" s="71"/>
      <c r="I23" s="79"/>
      <c r="J23" s="71"/>
      <c r="K23" s="79"/>
      <c r="L23" s="79"/>
      <c r="M23" s="79"/>
      <c r="N23" s="71"/>
      <c r="O23" s="79"/>
      <c r="P23" s="71"/>
      <c r="Q23"/>
      <c r="S23" s="79"/>
      <c r="T23" s="71"/>
      <c r="U23"/>
      <c r="V23" s="71"/>
      <c r="W23" s="79"/>
      <c r="X23" s="71"/>
      <c r="Y23" s="71"/>
      <c r="Z23" s="71" t="s">
        <v>106</v>
      </c>
      <c r="AA23" s="165" t="s">
        <v>205</v>
      </c>
      <c r="AB23" s="138"/>
      <c r="AC23" s="139"/>
      <c r="AD23" s="138"/>
      <c r="AE23" s="139"/>
      <c r="AF23" s="138"/>
      <c r="AG23" s="139"/>
      <c r="AH23" s="138"/>
      <c r="AI23" s="138"/>
      <c r="AJ23" s="138"/>
      <c r="AK23" s="138"/>
      <c r="AL23" s="138"/>
    </row>
    <row r="24" spans="2:38" x14ac:dyDescent="0.25">
      <c r="B24" s="71"/>
      <c r="G24" s="79"/>
      <c r="H24" s="71"/>
      <c r="I24" s="79"/>
      <c r="J24" s="71"/>
      <c r="K24" s="79"/>
      <c r="L24" s="79"/>
      <c r="M24" s="79"/>
      <c r="N24" s="71"/>
      <c r="O24" s="79"/>
      <c r="P24" s="71"/>
      <c r="Q24"/>
      <c r="S24" s="79"/>
      <c r="T24" s="71"/>
      <c r="U24"/>
      <c r="V24" s="71"/>
      <c r="W24" s="79"/>
      <c r="X24" s="71" t="s">
        <v>106</v>
      </c>
      <c r="Y24" s="172" t="s">
        <v>184</v>
      </c>
      <c r="Z24" s="73" t="s">
        <v>107</v>
      </c>
      <c r="AA24" s="166" t="s">
        <v>204</v>
      </c>
      <c r="AB24" s="140"/>
      <c r="AC24" s="141"/>
      <c r="AD24" s="138"/>
      <c r="AE24" s="139"/>
      <c r="AF24" s="138"/>
      <c r="AG24" s="139"/>
      <c r="AH24" s="138"/>
      <c r="AI24" s="138"/>
      <c r="AJ24" s="138"/>
      <c r="AK24" s="138"/>
      <c r="AL24" s="138"/>
    </row>
    <row r="25" spans="2:38" x14ac:dyDescent="0.25">
      <c r="B25" s="71"/>
      <c r="G25" s="79"/>
      <c r="H25" s="71"/>
      <c r="I25" s="79"/>
      <c r="J25" s="71"/>
      <c r="K25" s="79"/>
      <c r="L25" s="79"/>
      <c r="M25" s="79"/>
      <c r="N25" s="71"/>
      <c r="O25" s="79"/>
      <c r="P25" s="71"/>
      <c r="Q25"/>
      <c r="S25" s="79"/>
      <c r="T25" s="71"/>
      <c r="U25"/>
      <c r="V25" s="71"/>
      <c r="W25" s="79"/>
      <c r="X25" s="71"/>
      <c r="Y25" s="173" t="s">
        <v>278</v>
      </c>
      <c r="Z25" s="71"/>
      <c r="AB25" s="71" t="s">
        <v>106</v>
      </c>
      <c r="AC25" s="135" t="s">
        <v>208</v>
      </c>
      <c r="AD25" s="138"/>
      <c r="AE25" s="139"/>
      <c r="AF25" s="138"/>
      <c r="AG25" s="139"/>
      <c r="AH25" s="138"/>
      <c r="AI25" s="138"/>
      <c r="AJ25" s="138"/>
      <c r="AK25" s="138"/>
      <c r="AL25" s="138"/>
    </row>
    <row r="26" spans="2:38" x14ac:dyDescent="0.25">
      <c r="B26" s="71"/>
      <c r="G26" s="79"/>
      <c r="H26" s="71"/>
      <c r="I26" s="79"/>
      <c r="J26" s="71"/>
      <c r="K26" s="79"/>
      <c r="L26" s="79"/>
      <c r="M26" s="79"/>
      <c r="N26" s="71"/>
      <c r="O26" s="79"/>
      <c r="P26" s="71"/>
      <c r="Q26"/>
      <c r="S26" s="79"/>
      <c r="T26" s="71"/>
      <c r="U26"/>
      <c r="V26" s="71"/>
      <c r="W26" s="79"/>
      <c r="Y26"/>
      <c r="Z26" t="s">
        <v>108</v>
      </c>
      <c r="AA26" s="180" t="s">
        <v>189</v>
      </c>
      <c r="AB26" s="73" t="s">
        <v>107</v>
      </c>
      <c r="AC26" s="137" t="s">
        <v>207</v>
      </c>
      <c r="AD26" s="140"/>
      <c r="AE26" s="141"/>
      <c r="AF26" s="140"/>
      <c r="AG26" s="139"/>
      <c r="AH26" s="138"/>
      <c r="AI26" s="138"/>
      <c r="AJ26" s="138"/>
      <c r="AK26" s="138"/>
      <c r="AL26" s="138"/>
    </row>
    <row r="27" spans="2:38" x14ac:dyDescent="0.25">
      <c r="B27" s="71"/>
      <c r="G27" s="79"/>
      <c r="H27" s="71"/>
      <c r="I27" s="79"/>
      <c r="J27" s="71"/>
      <c r="K27" s="79"/>
      <c r="L27" s="79"/>
      <c r="M27" s="79"/>
      <c r="N27" s="71"/>
      <c r="O27" s="79"/>
      <c r="P27" s="71"/>
      <c r="Q27"/>
      <c r="S27" s="79"/>
      <c r="T27" s="71"/>
      <c r="U27"/>
      <c r="V27" s="71"/>
      <c r="W27" s="79"/>
      <c r="Y27"/>
      <c r="AA27" s="173" t="s">
        <v>290</v>
      </c>
      <c r="AB27" s="71"/>
      <c r="AC27"/>
      <c r="AD27" s="71" t="s">
        <v>106</v>
      </c>
      <c r="AE27" s="172" t="s">
        <v>180</v>
      </c>
      <c r="AF27" s="177" t="s">
        <v>268</v>
      </c>
      <c r="AG27" s="139"/>
      <c r="AH27" s="138"/>
      <c r="AI27" s="138"/>
      <c r="AJ27" s="138"/>
      <c r="AK27" s="138"/>
      <c r="AL27" s="138"/>
    </row>
    <row r="28" spans="2:38" x14ac:dyDescent="0.25">
      <c r="B28" s="71"/>
      <c r="G28" s="79"/>
      <c r="H28" s="71"/>
      <c r="I28" s="79"/>
      <c r="J28" s="71"/>
      <c r="K28" s="79"/>
      <c r="L28" s="79"/>
      <c r="M28" s="79"/>
      <c r="N28" s="71"/>
      <c r="O28" s="79"/>
      <c r="P28" s="71"/>
      <c r="Q28"/>
      <c r="S28" s="79"/>
      <c r="T28" s="71"/>
      <c r="U28"/>
      <c r="V28" s="71"/>
      <c r="W28" s="79"/>
      <c r="X28" s="71"/>
      <c r="AA28"/>
      <c r="AB28" t="s">
        <v>108</v>
      </c>
      <c r="AC28" s="180" t="s">
        <v>206</v>
      </c>
      <c r="AD28" s="71" t="s">
        <v>107</v>
      </c>
      <c r="AE28" s="172" t="s">
        <v>179</v>
      </c>
      <c r="AF28" s="177" t="s">
        <v>270</v>
      </c>
      <c r="AG28" s="139"/>
      <c r="AH28" s="138"/>
      <c r="AI28" s="138"/>
      <c r="AJ28" s="138"/>
      <c r="AK28" s="138"/>
      <c r="AL28" s="138"/>
    </row>
    <row r="29" spans="2:38" x14ac:dyDescent="0.25">
      <c r="B29" s="71"/>
      <c r="G29" s="79"/>
      <c r="H29" s="71"/>
      <c r="I29" s="79"/>
      <c r="J29" s="71"/>
      <c r="K29" s="79"/>
      <c r="L29" s="79"/>
      <c r="M29" s="79"/>
      <c r="N29" s="71"/>
      <c r="O29" s="79"/>
      <c r="P29" s="71"/>
      <c r="Q29"/>
      <c r="S29" s="79"/>
      <c r="T29" s="71"/>
      <c r="U29"/>
      <c r="V29" s="71"/>
      <c r="W29" s="79"/>
      <c r="X29" s="71"/>
      <c r="Z29" s="73"/>
      <c r="AA29" s="73"/>
      <c r="AB29" s="73"/>
      <c r="AC29" s="175" t="s">
        <v>296</v>
      </c>
      <c r="AD29" s="73" t="s">
        <v>108</v>
      </c>
      <c r="AE29" s="176" t="s">
        <v>178</v>
      </c>
      <c r="AF29" s="178" t="s">
        <v>269</v>
      </c>
      <c r="AG29" s="139"/>
      <c r="AH29" s="138"/>
      <c r="AI29" s="138"/>
      <c r="AJ29" s="138"/>
      <c r="AK29" s="138"/>
      <c r="AL29" s="138"/>
    </row>
    <row r="30" spans="2:38" x14ac:dyDescent="0.25">
      <c r="B30" s="71"/>
      <c r="G30" s="79"/>
      <c r="H30" s="71"/>
      <c r="I30" s="79"/>
      <c r="J30" s="71"/>
      <c r="K30" s="79"/>
      <c r="L30" s="79"/>
      <c r="M30" s="79"/>
      <c r="N30" s="71"/>
      <c r="O30" s="79"/>
      <c r="P30" s="71"/>
      <c r="Q30"/>
      <c r="S30" s="79"/>
      <c r="T30" s="71"/>
      <c r="U30"/>
      <c r="V30" s="71"/>
      <c r="W30" s="79"/>
      <c r="X30" s="71"/>
      <c r="Z30" s="71" t="s">
        <v>106</v>
      </c>
      <c r="AA30" s="135" t="s">
        <v>209</v>
      </c>
      <c r="AB30" s="138"/>
      <c r="AC30" s="139"/>
      <c r="AD30" s="138"/>
      <c r="AE30" s="139"/>
      <c r="AF30" s="138"/>
      <c r="AG30" s="139"/>
      <c r="AH30" s="138"/>
      <c r="AI30" s="138"/>
      <c r="AJ30" s="138"/>
      <c r="AK30" s="138"/>
      <c r="AL30" s="138"/>
    </row>
    <row r="31" spans="2:38" x14ac:dyDescent="0.25">
      <c r="B31" s="71"/>
      <c r="G31" s="79"/>
      <c r="H31" s="71"/>
      <c r="I31" s="79"/>
      <c r="J31" s="71"/>
      <c r="K31" s="79"/>
      <c r="L31" s="79"/>
      <c r="M31" s="79"/>
      <c r="N31" s="71"/>
      <c r="O31" s="79"/>
      <c r="P31" s="71"/>
      <c r="R31" s="71" t="s">
        <v>106</v>
      </c>
      <c r="S31" s="172" t="s">
        <v>203</v>
      </c>
      <c r="T31" s="71" t="s">
        <v>107</v>
      </c>
      <c r="U31" s="172" t="s">
        <v>169</v>
      </c>
      <c r="V31" s="71" t="s">
        <v>107</v>
      </c>
      <c r="W31" s="172" t="s">
        <v>176</v>
      </c>
      <c r="X31" s="71" t="s">
        <v>107</v>
      </c>
      <c r="Y31" s="172" t="s">
        <v>183</v>
      </c>
      <c r="Z31" s="73" t="s">
        <v>107</v>
      </c>
      <c r="AA31" s="137" t="s">
        <v>210</v>
      </c>
      <c r="AB31" s="140"/>
      <c r="AC31" s="141"/>
      <c r="AD31" s="140"/>
      <c r="AE31" s="141"/>
      <c r="AF31" s="140"/>
      <c r="AG31" s="139"/>
      <c r="AH31" s="138"/>
      <c r="AI31" s="138"/>
      <c r="AJ31" s="138"/>
      <c r="AK31" s="138"/>
      <c r="AL31" s="138"/>
    </row>
    <row r="32" spans="2:38" x14ac:dyDescent="0.25">
      <c r="B32" s="71"/>
      <c r="G32" s="79"/>
      <c r="H32" s="71"/>
      <c r="I32" s="79"/>
      <c r="J32" s="71"/>
      <c r="K32" s="79"/>
      <c r="L32" s="79"/>
      <c r="M32" s="79"/>
      <c r="N32" s="71"/>
      <c r="O32" s="79"/>
      <c r="P32" s="71"/>
      <c r="R32" s="71"/>
      <c r="S32" s="173" t="s">
        <v>285</v>
      </c>
      <c r="T32" s="71"/>
      <c r="U32" s="173" t="s">
        <v>274</v>
      </c>
      <c r="V32" s="71"/>
      <c r="W32" s="173" t="s">
        <v>262</v>
      </c>
      <c r="X32" s="71"/>
      <c r="Y32" s="173" t="s">
        <v>279</v>
      </c>
      <c r="Z32" s="71"/>
      <c r="AA32"/>
      <c r="AB32" s="71" t="s">
        <v>106</v>
      </c>
      <c r="AC32" s="135" t="s">
        <v>212</v>
      </c>
      <c r="AD32" s="138"/>
      <c r="AE32" s="138"/>
      <c r="AF32" s="138"/>
      <c r="AG32" s="139"/>
      <c r="AH32" s="138"/>
      <c r="AI32" s="138"/>
      <c r="AJ32" s="138"/>
      <c r="AK32" s="138"/>
      <c r="AL32" s="138"/>
    </row>
    <row r="33" spans="2:38" x14ac:dyDescent="0.25">
      <c r="B33" s="71"/>
      <c r="G33" s="79"/>
      <c r="H33" s="71"/>
      <c r="I33" s="79"/>
      <c r="J33" s="71"/>
      <c r="K33" s="79"/>
      <c r="L33" s="79"/>
      <c r="M33" s="79"/>
      <c r="N33" s="71"/>
      <c r="O33" s="79"/>
      <c r="P33" s="71"/>
      <c r="R33" s="71"/>
      <c r="S33" s="79"/>
      <c r="T33" s="71"/>
      <c r="V33" s="71"/>
      <c r="W33" s="79"/>
      <c r="X33" s="79"/>
      <c r="Z33" s="79" t="s">
        <v>108</v>
      </c>
      <c r="AA33" s="176" t="s">
        <v>190</v>
      </c>
      <c r="AB33" s="73" t="s">
        <v>107</v>
      </c>
      <c r="AC33" s="137" t="s">
        <v>211</v>
      </c>
      <c r="AD33" s="140"/>
      <c r="AE33" s="141"/>
      <c r="AF33" s="140"/>
      <c r="AG33" s="139"/>
      <c r="AH33" s="138"/>
      <c r="AI33" s="138"/>
      <c r="AJ33" s="138"/>
      <c r="AK33" s="138"/>
      <c r="AL33" s="138"/>
    </row>
    <row r="34" spans="2:38" x14ac:dyDescent="0.25">
      <c r="B34" s="71"/>
      <c r="G34" s="79"/>
      <c r="H34" s="71"/>
      <c r="I34" s="79"/>
      <c r="J34" s="71"/>
      <c r="K34" s="79"/>
      <c r="L34" s="79"/>
      <c r="M34" s="79"/>
      <c r="N34" s="71"/>
      <c r="O34" s="79"/>
      <c r="P34" s="71"/>
      <c r="R34" s="71"/>
      <c r="S34" s="79"/>
      <c r="T34" s="71"/>
      <c r="V34" s="71"/>
      <c r="W34" s="79"/>
      <c r="X34" s="79"/>
      <c r="Z34" s="79"/>
      <c r="AA34" s="173" t="s">
        <v>293</v>
      </c>
      <c r="AB34" s="71"/>
      <c r="AF34" s="71" t="s">
        <v>106</v>
      </c>
      <c r="AG34" s="172" t="s">
        <v>174</v>
      </c>
      <c r="AH34" s="177" t="s">
        <v>266</v>
      </c>
      <c r="AI34" s="138"/>
      <c r="AJ34" s="138"/>
      <c r="AK34" s="138"/>
      <c r="AL34" s="138"/>
    </row>
    <row r="35" spans="2:38" x14ac:dyDescent="0.25">
      <c r="B35" s="71"/>
      <c r="G35" s="79"/>
      <c r="H35" s="71"/>
      <c r="I35" s="79"/>
      <c r="J35" s="71"/>
      <c r="K35" s="79"/>
      <c r="L35" s="79"/>
      <c r="M35" s="79"/>
      <c r="N35" s="71"/>
      <c r="O35" s="79"/>
      <c r="P35" s="71"/>
      <c r="R35" s="71"/>
      <c r="S35" s="79"/>
      <c r="T35" s="71"/>
      <c r="V35" s="71"/>
      <c r="W35" s="79"/>
      <c r="X35" s="79"/>
      <c r="Z35" s="79"/>
      <c r="AB35" s="71"/>
      <c r="AD35" s="71" t="s">
        <v>106</v>
      </c>
      <c r="AE35" s="172" t="s">
        <v>174</v>
      </c>
      <c r="AF35" s="71" t="s">
        <v>107</v>
      </c>
      <c r="AG35" s="172" t="s">
        <v>173</v>
      </c>
      <c r="AH35" s="177" t="s">
        <v>265</v>
      </c>
      <c r="AI35" s="138"/>
      <c r="AJ35" s="138"/>
      <c r="AK35" s="138"/>
      <c r="AL35" s="138"/>
    </row>
    <row r="36" spans="2:38" x14ac:dyDescent="0.25">
      <c r="B36" s="71"/>
      <c r="G36" s="79"/>
      <c r="H36" s="71"/>
      <c r="I36" s="79"/>
      <c r="J36" s="71"/>
      <c r="K36" s="79"/>
      <c r="L36" s="79"/>
      <c r="M36" s="79"/>
      <c r="N36" s="71"/>
      <c r="O36" s="79"/>
      <c r="P36" s="71"/>
      <c r="R36" s="71"/>
      <c r="S36" s="79"/>
      <c r="T36" s="71"/>
      <c r="V36" s="71"/>
      <c r="W36" s="79"/>
      <c r="X36" s="79"/>
      <c r="Z36" s="79"/>
      <c r="AB36" s="71"/>
      <c r="AD36" s="73"/>
      <c r="AE36" s="175" t="s">
        <v>266</v>
      </c>
      <c r="AF36" s="73" t="s">
        <v>108</v>
      </c>
      <c r="AG36" s="176" t="s">
        <v>172</v>
      </c>
      <c r="AH36" s="178" t="s">
        <v>264</v>
      </c>
      <c r="AI36" s="138"/>
      <c r="AJ36" s="138"/>
      <c r="AK36" s="138"/>
      <c r="AL36" s="138"/>
    </row>
    <row r="37" spans="2:38" x14ac:dyDescent="0.25">
      <c r="B37" s="71"/>
      <c r="G37" s="79"/>
      <c r="H37" s="71"/>
      <c r="I37" s="79"/>
      <c r="J37" s="71"/>
      <c r="K37" s="79"/>
      <c r="L37" s="79"/>
      <c r="M37" s="79"/>
      <c r="N37" s="71"/>
      <c r="O37" s="79"/>
      <c r="P37" s="71"/>
      <c r="R37" s="71"/>
      <c r="S37" s="79"/>
      <c r="T37" s="71"/>
      <c r="V37" s="71"/>
      <c r="W37" s="79"/>
      <c r="X37" s="79"/>
      <c r="Z37" s="79"/>
      <c r="AB37" s="71"/>
      <c r="AD37" s="71"/>
      <c r="AF37" s="71" t="s">
        <v>106</v>
      </c>
      <c r="AG37" s="172" t="s">
        <v>177</v>
      </c>
      <c r="AH37" s="177" t="s">
        <v>263</v>
      </c>
      <c r="AI37" s="138"/>
      <c r="AJ37" s="138"/>
      <c r="AK37" s="138"/>
      <c r="AL37" s="138"/>
    </row>
    <row r="38" spans="2:38" x14ac:dyDescent="0.25">
      <c r="B38" s="71"/>
      <c r="G38" s="79"/>
      <c r="H38" s="71"/>
      <c r="I38" s="79"/>
      <c r="J38" s="71"/>
      <c r="K38" s="79"/>
      <c r="L38" s="79"/>
      <c r="M38" s="79"/>
      <c r="N38" s="71"/>
      <c r="O38" s="79"/>
      <c r="P38" s="71"/>
      <c r="R38" s="71"/>
      <c r="S38" s="79"/>
      <c r="T38" s="71"/>
      <c r="V38" s="71"/>
      <c r="W38" s="79"/>
      <c r="X38" s="71"/>
      <c r="Z38" s="71"/>
      <c r="AB38" s="71" t="s">
        <v>108</v>
      </c>
      <c r="AC38" s="172" t="s">
        <v>174</v>
      </c>
      <c r="AD38" s="71" t="s">
        <v>107</v>
      </c>
      <c r="AE38" s="79" t="s">
        <v>173</v>
      </c>
      <c r="AF38" s="71" t="s">
        <v>107</v>
      </c>
      <c r="AG38" s="172" t="s">
        <v>176</v>
      </c>
      <c r="AH38" s="177" t="s">
        <v>262</v>
      </c>
      <c r="AI38" s="138"/>
      <c r="AJ38" s="138"/>
      <c r="AK38" s="138"/>
      <c r="AL38" s="138"/>
    </row>
    <row r="39" spans="2:38" x14ac:dyDescent="0.25">
      <c r="B39" s="71"/>
      <c r="G39" s="79"/>
      <c r="H39" s="71"/>
      <c r="I39" s="79"/>
      <c r="J39" s="71"/>
      <c r="K39" s="79"/>
      <c r="L39" s="79"/>
      <c r="M39" s="79"/>
      <c r="N39" s="71"/>
      <c r="O39" s="79"/>
      <c r="P39" s="71"/>
      <c r="R39" s="71"/>
      <c r="S39" s="79"/>
      <c r="T39" s="71"/>
      <c r="V39" s="71"/>
      <c r="W39" s="79"/>
      <c r="X39" s="71"/>
      <c r="Z39" s="71"/>
      <c r="AB39" s="71"/>
      <c r="AC39" s="173" t="s">
        <v>266</v>
      </c>
      <c r="AD39" s="73"/>
      <c r="AE39" s="175" t="s">
        <v>265</v>
      </c>
      <c r="AF39" s="73" t="s">
        <v>108</v>
      </c>
      <c r="AG39" s="176" t="s">
        <v>175</v>
      </c>
      <c r="AH39" s="178" t="s">
        <v>261</v>
      </c>
      <c r="AI39" s="138"/>
      <c r="AJ39" s="138"/>
      <c r="AK39" s="138"/>
      <c r="AL39" s="138"/>
    </row>
    <row r="40" spans="2:38" x14ac:dyDescent="0.25">
      <c r="B40" s="71"/>
      <c r="G40" s="79"/>
      <c r="H40" s="71"/>
      <c r="I40" s="79"/>
      <c r="J40" s="71"/>
      <c r="K40" s="79"/>
      <c r="L40" s="79"/>
      <c r="M40" s="79"/>
      <c r="N40" s="71"/>
      <c r="O40" s="79"/>
      <c r="P40" s="71"/>
      <c r="R40" s="71"/>
      <c r="S40" s="79"/>
      <c r="T40" s="71"/>
      <c r="V40" s="71"/>
      <c r="W40" s="79"/>
      <c r="X40" s="71"/>
      <c r="Z40" s="71"/>
      <c r="AB40" s="71"/>
      <c r="AD40" s="71"/>
      <c r="AF40" s="71" t="s">
        <v>106</v>
      </c>
      <c r="AG40" s="172" t="s">
        <v>180</v>
      </c>
      <c r="AH40" s="177" t="s">
        <v>268</v>
      </c>
      <c r="AI40" s="138"/>
      <c r="AJ40" s="138"/>
      <c r="AK40" s="138"/>
      <c r="AL40" s="138"/>
    </row>
    <row r="41" spans="2:38" x14ac:dyDescent="0.25">
      <c r="B41" s="71"/>
      <c r="G41" s="79"/>
      <c r="H41" s="71"/>
      <c r="I41" s="79"/>
      <c r="J41" s="71"/>
      <c r="K41" s="79"/>
      <c r="L41" s="79"/>
      <c r="M41" s="79"/>
      <c r="N41" s="71"/>
      <c r="O41" s="79"/>
      <c r="P41" s="71"/>
      <c r="R41" s="71"/>
      <c r="S41" s="79"/>
      <c r="T41" s="71"/>
      <c r="V41" s="71"/>
      <c r="W41" s="79"/>
      <c r="X41" s="71"/>
      <c r="Z41" s="71"/>
      <c r="AA41" s="71"/>
      <c r="AB41" s="71"/>
      <c r="AC41" s="71"/>
      <c r="AD41" s="71" t="s">
        <v>108</v>
      </c>
      <c r="AE41" s="79" t="s">
        <v>172</v>
      </c>
      <c r="AF41" s="71" t="s">
        <v>107</v>
      </c>
      <c r="AG41" s="172" t="s">
        <v>179</v>
      </c>
      <c r="AH41" s="177" t="s">
        <v>270</v>
      </c>
      <c r="AI41" s="138"/>
      <c r="AJ41" s="138"/>
      <c r="AK41" s="138"/>
      <c r="AL41" s="138"/>
    </row>
    <row r="42" spans="2:38" x14ac:dyDescent="0.25">
      <c r="B42" s="71"/>
      <c r="G42" s="79"/>
      <c r="H42" s="71"/>
      <c r="I42" s="79"/>
      <c r="J42" s="71"/>
      <c r="K42" s="79"/>
      <c r="L42" s="79"/>
      <c r="M42" s="79"/>
      <c r="N42" s="71"/>
      <c r="O42" s="79"/>
      <c r="P42" s="71"/>
      <c r="R42" s="71"/>
      <c r="S42" s="79"/>
      <c r="T42" s="71"/>
      <c r="V42" s="71"/>
      <c r="W42" s="79"/>
      <c r="X42" s="71"/>
      <c r="Z42" s="71"/>
      <c r="AA42" s="80"/>
      <c r="AB42" s="73"/>
      <c r="AC42" s="80"/>
      <c r="AD42" s="73"/>
      <c r="AE42" s="175" t="s">
        <v>264</v>
      </c>
      <c r="AF42" s="73" t="s">
        <v>108</v>
      </c>
      <c r="AG42" s="176" t="s">
        <v>178</v>
      </c>
      <c r="AH42" s="178" t="s">
        <v>269</v>
      </c>
      <c r="AI42" s="138"/>
      <c r="AJ42" s="138"/>
      <c r="AK42" s="138"/>
      <c r="AL42" s="138"/>
    </row>
    <row r="43" spans="2:38" x14ac:dyDescent="0.25">
      <c r="B43" s="71"/>
      <c r="G43" s="79"/>
      <c r="H43" s="71"/>
      <c r="I43" s="79"/>
      <c r="J43" s="71"/>
      <c r="K43" s="79"/>
      <c r="L43" s="79"/>
      <c r="M43" s="79"/>
      <c r="N43" s="71"/>
      <c r="O43" s="79"/>
      <c r="P43" s="71"/>
      <c r="R43" s="71"/>
      <c r="S43" s="79"/>
      <c r="T43" s="71"/>
      <c r="V43" s="71"/>
      <c r="W43" s="79"/>
      <c r="X43" s="71"/>
      <c r="Z43" s="71" t="s">
        <v>106</v>
      </c>
      <c r="AA43" s="172" t="s">
        <v>182</v>
      </c>
      <c r="AB43" s="177" t="s">
        <v>275</v>
      </c>
      <c r="AC43" s="139"/>
      <c r="AD43" s="138"/>
      <c r="AE43" s="139"/>
      <c r="AF43" s="138"/>
      <c r="AG43" s="139"/>
      <c r="AH43" s="138"/>
      <c r="AI43" s="138"/>
      <c r="AJ43" s="138"/>
      <c r="AK43" s="138"/>
      <c r="AL43" s="138"/>
    </row>
    <row r="44" spans="2:38" x14ac:dyDescent="0.25">
      <c r="B44" s="71"/>
      <c r="G44" s="79"/>
      <c r="H44" s="71"/>
      <c r="I44" s="79"/>
      <c r="J44" s="71"/>
      <c r="K44" s="79"/>
      <c r="L44" s="79"/>
      <c r="M44" s="79"/>
      <c r="N44" s="71"/>
      <c r="O44" s="79"/>
      <c r="P44" s="71"/>
      <c r="R44" s="71"/>
      <c r="S44" s="79"/>
      <c r="T44" s="71"/>
      <c r="V44" s="71"/>
      <c r="W44" s="71"/>
      <c r="X44" s="71" t="s">
        <v>108</v>
      </c>
      <c r="Y44" s="172" t="s">
        <v>171</v>
      </c>
      <c r="Z44" s="71" t="s">
        <v>107</v>
      </c>
      <c r="AA44" s="172" t="s">
        <v>181</v>
      </c>
      <c r="AB44" s="177" t="s">
        <v>276</v>
      </c>
      <c r="AC44" s="139"/>
      <c r="AD44" s="138"/>
      <c r="AE44" s="139"/>
      <c r="AF44" s="138"/>
      <c r="AG44" s="139"/>
      <c r="AH44" s="138"/>
      <c r="AI44" s="138"/>
      <c r="AJ44" s="138"/>
      <c r="AK44" s="138"/>
      <c r="AL44" s="138"/>
    </row>
    <row r="45" spans="2:38" x14ac:dyDescent="0.25">
      <c r="B45" s="71"/>
      <c r="G45" s="79"/>
      <c r="H45" s="71"/>
      <c r="I45" s="79"/>
      <c r="J45" s="71"/>
      <c r="K45" s="79"/>
      <c r="L45" s="79"/>
      <c r="M45" s="79"/>
      <c r="N45" s="71"/>
      <c r="O45" s="79"/>
      <c r="P45" s="71"/>
      <c r="R45" s="71"/>
      <c r="S45" s="79"/>
      <c r="T45" s="71"/>
      <c r="V45" s="71"/>
      <c r="W45" s="79"/>
      <c r="X45" s="73"/>
      <c r="Y45" s="175" t="s">
        <v>271</v>
      </c>
      <c r="Z45" s="73" t="s">
        <v>108</v>
      </c>
      <c r="AA45" s="176" t="s">
        <v>170</v>
      </c>
      <c r="AB45" s="178" t="s">
        <v>277</v>
      </c>
      <c r="AC45" s="139"/>
      <c r="AD45" s="138"/>
      <c r="AE45" s="139"/>
      <c r="AF45" s="138"/>
      <c r="AG45" s="139"/>
      <c r="AH45" s="138"/>
      <c r="AI45" s="138"/>
      <c r="AJ45" s="138"/>
      <c r="AK45" s="138"/>
      <c r="AL45" s="138"/>
    </row>
    <row r="46" spans="2:38" x14ac:dyDescent="0.25">
      <c r="B46" s="71"/>
      <c r="G46" s="79"/>
      <c r="H46" s="71"/>
      <c r="I46" s="79"/>
      <c r="J46" s="71"/>
      <c r="K46" s="79"/>
      <c r="L46" s="79"/>
      <c r="M46" s="79"/>
      <c r="N46" s="71"/>
      <c r="O46" s="79"/>
      <c r="P46" s="71"/>
      <c r="R46" s="71"/>
      <c r="S46" s="79"/>
      <c r="T46" s="71"/>
      <c r="V46" s="71"/>
      <c r="W46" s="79"/>
      <c r="X46" s="71"/>
      <c r="Z46" s="73" t="s">
        <v>106</v>
      </c>
      <c r="AA46" s="176" t="s">
        <v>189</v>
      </c>
      <c r="AB46" s="179" t="s">
        <v>290</v>
      </c>
      <c r="AC46" s="141"/>
      <c r="AD46" s="140"/>
      <c r="AE46" s="141"/>
      <c r="AF46" s="140"/>
      <c r="AG46" s="141"/>
      <c r="AH46" s="140"/>
      <c r="AI46" s="138"/>
      <c r="AJ46" s="138"/>
      <c r="AK46" s="138"/>
      <c r="AL46" s="138"/>
    </row>
    <row r="47" spans="2:38" x14ac:dyDescent="0.25">
      <c r="B47" s="71"/>
      <c r="G47" s="79"/>
      <c r="H47" s="71"/>
      <c r="I47" s="79"/>
      <c r="J47" s="71"/>
      <c r="K47" s="79"/>
      <c r="L47" s="79"/>
      <c r="M47" s="79"/>
      <c r="N47" s="71"/>
      <c r="O47" s="79"/>
      <c r="P47" s="71"/>
      <c r="R47" s="71"/>
      <c r="S47" s="79"/>
      <c r="T47" s="71"/>
      <c r="V47" s="71"/>
      <c r="W47" s="79"/>
      <c r="X47" s="71"/>
      <c r="Z47" s="71"/>
      <c r="AB47" s="71" t="s">
        <v>106</v>
      </c>
      <c r="AC47" s="135" t="s">
        <v>215</v>
      </c>
      <c r="AD47" s="138"/>
      <c r="AE47" s="139"/>
      <c r="AF47" s="138"/>
      <c r="AG47" s="139"/>
      <c r="AH47" s="138"/>
      <c r="AI47" s="138"/>
      <c r="AJ47" s="138"/>
      <c r="AK47" s="138"/>
      <c r="AL47" s="138"/>
    </row>
    <row r="48" spans="2:38" x14ac:dyDescent="0.25">
      <c r="B48" s="71"/>
      <c r="G48" s="79"/>
      <c r="H48" s="71"/>
      <c r="I48" s="79"/>
      <c r="J48" s="71"/>
      <c r="K48" s="79"/>
      <c r="L48" s="79"/>
      <c r="M48" s="79"/>
      <c r="N48" s="71"/>
      <c r="O48" s="79"/>
      <c r="P48" s="71"/>
      <c r="R48" s="71"/>
      <c r="S48" s="79"/>
      <c r="T48" s="71"/>
      <c r="V48" s="71"/>
      <c r="W48" s="79"/>
      <c r="X48" s="71" t="s">
        <v>106</v>
      </c>
      <c r="Y48" s="172" t="s">
        <v>186</v>
      </c>
      <c r="Z48" s="71" t="s">
        <v>107</v>
      </c>
      <c r="AA48" s="172" t="s">
        <v>200</v>
      </c>
      <c r="AB48" s="73" t="s">
        <v>107</v>
      </c>
      <c r="AC48" s="137" t="s">
        <v>214</v>
      </c>
      <c r="AD48" s="140"/>
      <c r="AE48" s="141"/>
      <c r="AF48" s="140"/>
      <c r="AG48" s="141"/>
      <c r="AH48" s="140"/>
      <c r="AI48" s="138"/>
      <c r="AJ48" s="138"/>
      <c r="AK48" s="138"/>
      <c r="AL48" s="138"/>
    </row>
    <row r="49" spans="2:38" x14ac:dyDescent="0.25">
      <c r="B49" s="71"/>
      <c r="G49" s="79"/>
      <c r="H49" s="71"/>
      <c r="I49" s="79"/>
      <c r="J49" s="71"/>
      <c r="K49" s="79"/>
      <c r="L49" s="79"/>
      <c r="M49" s="79"/>
      <c r="N49" s="71"/>
      <c r="O49" s="79"/>
      <c r="P49" s="71"/>
      <c r="R49" s="71"/>
      <c r="S49" s="79"/>
      <c r="T49" s="71"/>
      <c r="V49" s="71"/>
      <c r="W49" s="79"/>
      <c r="X49" s="71"/>
      <c r="Y49" s="173" t="s">
        <v>281</v>
      </c>
      <c r="Z49" s="71"/>
      <c r="AA49" s="173" t="s">
        <v>291</v>
      </c>
      <c r="AB49" s="71"/>
      <c r="AD49" s="71" t="s">
        <v>106</v>
      </c>
      <c r="AE49" s="172" t="s">
        <v>186</v>
      </c>
      <c r="AF49" s="177" t="s">
        <v>281</v>
      </c>
      <c r="AG49" s="139"/>
      <c r="AH49" s="138"/>
      <c r="AI49" s="138"/>
      <c r="AJ49" s="138"/>
      <c r="AK49" s="138"/>
      <c r="AL49" s="138"/>
    </row>
    <row r="50" spans="2:38" x14ac:dyDescent="0.25">
      <c r="B50" s="71"/>
      <c r="G50" s="79"/>
      <c r="H50" s="71"/>
      <c r="I50" s="79"/>
      <c r="J50" s="71"/>
      <c r="K50" s="79"/>
      <c r="L50" s="79"/>
      <c r="M50" s="79"/>
      <c r="N50" s="71"/>
      <c r="O50" s="79"/>
      <c r="P50" s="71"/>
      <c r="R50" s="71"/>
      <c r="S50" s="79"/>
      <c r="T50" s="71"/>
      <c r="V50" s="71"/>
      <c r="W50" s="79"/>
      <c r="X50" s="71"/>
      <c r="Z50" s="71"/>
      <c r="AB50" s="71" t="s">
        <v>108</v>
      </c>
      <c r="AC50" s="172" t="s">
        <v>213</v>
      </c>
      <c r="AD50" s="71" t="s">
        <v>107</v>
      </c>
      <c r="AE50" s="172" t="s">
        <v>185</v>
      </c>
      <c r="AF50" s="177" t="s">
        <v>282</v>
      </c>
      <c r="AG50" s="139"/>
      <c r="AH50" s="138"/>
      <c r="AI50" s="138"/>
      <c r="AJ50" s="138"/>
      <c r="AK50" s="138"/>
      <c r="AL50" s="138"/>
    </row>
    <row r="51" spans="2:38" x14ac:dyDescent="0.25">
      <c r="B51" s="71"/>
      <c r="G51" s="79"/>
      <c r="H51" s="71"/>
      <c r="I51" s="79"/>
      <c r="J51" s="71"/>
      <c r="K51" s="79"/>
      <c r="L51" s="79"/>
      <c r="M51" s="79"/>
      <c r="N51" s="71"/>
      <c r="O51" s="79"/>
      <c r="P51" s="71"/>
      <c r="R51" s="71"/>
      <c r="S51" s="79"/>
      <c r="T51" s="71"/>
      <c r="V51" s="71"/>
      <c r="W51" s="79"/>
      <c r="X51" s="71"/>
      <c r="Z51" s="71"/>
      <c r="AA51" s="80"/>
      <c r="AB51" s="73"/>
      <c r="AC51" s="175" t="s">
        <v>297</v>
      </c>
      <c r="AD51" s="73" t="s">
        <v>108</v>
      </c>
      <c r="AE51" s="176" t="s">
        <v>163</v>
      </c>
      <c r="AF51" s="178" t="s">
        <v>280</v>
      </c>
      <c r="AG51" s="141"/>
      <c r="AH51" s="140"/>
      <c r="AI51" s="138"/>
      <c r="AJ51" s="138"/>
      <c r="AK51" s="138"/>
      <c r="AL51" s="138"/>
    </row>
    <row r="52" spans="2:38" x14ac:dyDescent="0.25">
      <c r="B52" s="71"/>
      <c r="G52" s="79"/>
      <c r="H52" s="71"/>
      <c r="I52" s="79"/>
      <c r="J52" s="71"/>
      <c r="K52" s="79"/>
      <c r="L52" s="79"/>
      <c r="M52" s="79"/>
      <c r="N52" s="71"/>
      <c r="O52" s="79"/>
      <c r="P52" s="71"/>
      <c r="R52" s="71"/>
      <c r="S52" s="79"/>
      <c r="T52" s="71"/>
      <c r="V52" s="71"/>
      <c r="W52" s="79"/>
      <c r="X52" s="71"/>
      <c r="Z52" s="71"/>
      <c r="AB52" s="71" t="s">
        <v>106</v>
      </c>
      <c r="AC52" s="172" t="s">
        <v>203</v>
      </c>
      <c r="AD52" s="177" t="s">
        <v>285</v>
      </c>
      <c r="AE52" s="139"/>
      <c r="AF52" s="138"/>
      <c r="AG52" s="139"/>
      <c r="AH52" s="138"/>
      <c r="AI52" s="138"/>
      <c r="AJ52" s="138"/>
      <c r="AK52" s="138"/>
      <c r="AL52" s="138"/>
    </row>
    <row r="53" spans="2:38" x14ac:dyDescent="0.25">
      <c r="B53" s="71"/>
      <c r="G53" s="79"/>
      <c r="H53" s="71"/>
      <c r="I53" s="79"/>
      <c r="J53" s="71"/>
      <c r="K53" s="79"/>
      <c r="L53" s="79"/>
      <c r="M53" s="79"/>
      <c r="N53" s="71"/>
      <c r="O53" s="79"/>
      <c r="P53" s="71"/>
      <c r="R53" s="71"/>
      <c r="S53" s="79"/>
      <c r="T53" s="71"/>
      <c r="V53" s="71"/>
      <c r="W53" s="79"/>
      <c r="X53" s="79"/>
      <c r="Z53" s="79" t="s">
        <v>108</v>
      </c>
      <c r="AA53" s="172" t="s">
        <v>191</v>
      </c>
      <c r="AB53" s="71" t="s">
        <v>107</v>
      </c>
      <c r="AC53" s="172" t="s">
        <v>202</v>
      </c>
      <c r="AD53" s="177" t="s">
        <v>286</v>
      </c>
      <c r="AE53" s="139"/>
      <c r="AF53" s="139"/>
      <c r="AG53" s="139"/>
      <c r="AH53" s="138"/>
      <c r="AI53" s="138"/>
      <c r="AJ53" s="138"/>
      <c r="AK53" s="138"/>
      <c r="AL53" s="138"/>
    </row>
    <row r="54" spans="2:38" x14ac:dyDescent="0.25">
      <c r="B54" s="71"/>
      <c r="G54" s="79"/>
      <c r="H54" s="71"/>
      <c r="I54" s="79"/>
      <c r="J54" s="71"/>
      <c r="K54" s="79"/>
      <c r="L54" s="79"/>
      <c r="M54" s="79"/>
      <c r="N54" s="71"/>
      <c r="O54" s="79"/>
      <c r="P54" s="71"/>
      <c r="R54" s="71"/>
      <c r="S54" s="79"/>
      <c r="T54" s="71"/>
      <c r="V54" s="71"/>
      <c r="W54" s="79"/>
      <c r="X54" s="73"/>
      <c r="Y54" s="80"/>
      <c r="Z54" s="73"/>
      <c r="AA54" s="175" t="s">
        <v>292</v>
      </c>
      <c r="AB54" s="73" t="s">
        <v>108</v>
      </c>
      <c r="AC54" s="176" t="s">
        <v>201</v>
      </c>
      <c r="AD54" s="178" t="s">
        <v>287</v>
      </c>
      <c r="AE54" s="141"/>
      <c r="AF54" s="140"/>
      <c r="AG54" s="141"/>
      <c r="AH54" s="138"/>
      <c r="AI54" s="138"/>
      <c r="AJ54" s="138"/>
      <c r="AK54" s="138"/>
      <c r="AL54" s="138"/>
    </row>
    <row r="55" spans="2:38" x14ac:dyDescent="0.25">
      <c r="B55" s="71"/>
      <c r="G55" s="79"/>
      <c r="H55" s="71"/>
      <c r="I55" s="79"/>
      <c r="J55" s="71"/>
      <c r="K55" s="79"/>
      <c r="L55" s="79"/>
      <c r="M55" s="79"/>
      <c r="N55" s="71"/>
      <c r="O55" s="79"/>
      <c r="P55" s="71"/>
      <c r="R55" s="71"/>
      <c r="S55" s="79"/>
      <c r="T55" s="71"/>
      <c r="V55" s="71"/>
      <c r="W55" s="79"/>
      <c r="X55" s="71"/>
      <c r="Z55" s="71"/>
      <c r="AB55" s="73" t="s">
        <v>106</v>
      </c>
      <c r="AC55" s="137" t="s">
        <v>212</v>
      </c>
      <c r="AD55" s="140"/>
      <c r="AE55" s="141"/>
      <c r="AF55" s="140"/>
      <c r="AG55" s="141"/>
      <c r="AH55" s="138"/>
      <c r="AI55" s="138"/>
      <c r="AJ55" s="138"/>
      <c r="AK55" s="138"/>
      <c r="AL55" s="138"/>
    </row>
    <row r="56" spans="2:38" x14ac:dyDescent="0.25">
      <c r="B56" s="71"/>
      <c r="G56" s="79"/>
      <c r="H56" s="71"/>
      <c r="I56" s="79"/>
      <c r="J56" s="71"/>
      <c r="K56" s="79"/>
      <c r="L56" s="79"/>
      <c r="M56" s="79"/>
      <c r="N56" s="71"/>
      <c r="O56" s="79"/>
      <c r="P56" s="71"/>
      <c r="R56" s="71"/>
      <c r="S56" s="79"/>
      <c r="T56" s="71"/>
      <c r="V56" s="71"/>
      <c r="W56" s="79"/>
      <c r="X56" s="71"/>
      <c r="Z56" s="71" t="s">
        <v>106</v>
      </c>
      <c r="AA56" s="172" t="s">
        <v>190</v>
      </c>
      <c r="AB56" s="73" t="s">
        <v>107</v>
      </c>
      <c r="AC56" s="137" t="s">
        <v>211</v>
      </c>
      <c r="AD56" s="140"/>
      <c r="AE56" s="141"/>
      <c r="AF56" s="140"/>
      <c r="AG56" s="141"/>
      <c r="AH56" s="138"/>
      <c r="AI56" s="138"/>
      <c r="AJ56" s="138"/>
      <c r="AK56" s="138"/>
      <c r="AL56" s="138"/>
    </row>
    <row r="57" spans="2:38" x14ac:dyDescent="0.25">
      <c r="B57" s="71"/>
      <c r="G57" s="79"/>
      <c r="H57" s="71"/>
      <c r="I57" s="79"/>
      <c r="J57" s="71"/>
      <c r="K57" s="79"/>
      <c r="L57" s="79"/>
      <c r="M57" s="79"/>
      <c r="N57" s="71"/>
      <c r="O57" s="79"/>
      <c r="P57" s="71"/>
      <c r="R57" s="71"/>
      <c r="S57" s="79"/>
      <c r="T57" s="71"/>
      <c r="V57" s="71"/>
      <c r="W57" s="79"/>
      <c r="X57" s="71"/>
      <c r="Z57" s="73"/>
      <c r="AA57" s="175" t="s">
        <v>293</v>
      </c>
      <c r="AB57" s="73" t="s">
        <v>108</v>
      </c>
      <c r="AC57" s="176" t="s">
        <v>174</v>
      </c>
      <c r="AD57" s="179" t="s">
        <v>266</v>
      </c>
      <c r="AE57" s="141"/>
      <c r="AF57" s="140"/>
      <c r="AG57" s="141"/>
      <c r="AH57" s="140"/>
      <c r="AI57" s="138"/>
      <c r="AJ57" s="138"/>
      <c r="AK57" s="138"/>
      <c r="AL57" s="138"/>
    </row>
    <row r="58" spans="2:38" x14ac:dyDescent="0.25">
      <c r="B58" s="71"/>
      <c r="G58" s="79"/>
      <c r="H58" s="71"/>
      <c r="I58" s="79"/>
      <c r="J58" s="71"/>
      <c r="K58" s="79"/>
      <c r="L58" s="79"/>
      <c r="M58" s="79"/>
      <c r="N58" s="71"/>
      <c r="O58" s="79"/>
      <c r="P58" s="71"/>
      <c r="R58" s="71"/>
      <c r="S58" s="79"/>
      <c r="T58" s="71"/>
      <c r="V58" s="71"/>
      <c r="W58" s="79"/>
      <c r="X58" s="71"/>
      <c r="Z58" s="71"/>
      <c r="AB58" s="73" t="s">
        <v>106</v>
      </c>
      <c r="AC58" s="137" t="s">
        <v>217</v>
      </c>
      <c r="AD58" s="140"/>
      <c r="AE58" s="141"/>
      <c r="AF58" s="140"/>
      <c r="AG58" s="141"/>
      <c r="AH58" s="142"/>
      <c r="AI58" s="138"/>
      <c r="AJ58" s="138"/>
      <c r="AK58" s="138"/>
      <c r="AL58" s="138"/>
    </row>
    <row r="59" spans="2:38" ht="13.9" customHeight="1" x14ac:dyDescent="0.25">
      <c r="B59" s="71"/>
      <c r="G59" s="79"/>
      <c r="H59" s="71"/>
      <c r="I59" s="79"/>
      <c r="J59" s="71"/>
      <c r="K59" s="79"/>
      <c r="L59" s="79"/>
      <c r="M59" s="79"/>
      <c r="N59" s="71"/>
      <c r="O59" s="79"/>
      <c r="P59" s="71"/>
      <c r="R59" s="71"/>
      <c r="S59" s="79"/>
      <c r="T59" s="71"/>
      <c r="V59" s="71" t="s">
        <v>108</v>
      </c>
      <c r="W59" s="172" t="s">
        <v>175</v>
      </c>
      <c r="X59" s="71" t="s">
        <v>107</v>
      </c>
      <c r="Y59" s="172" t="s">
        <v>185</v>
      </c>
      <c r="Z59" s="71" t="s">
        <v>107</v>
      </c>
      <c r="AA59" s="172" t="s">
        <v>193</v>
      </c>
      <c r="AB59" s="73" t="s">
        <v>107</v>
      </c>
      <c r="AC59" s="137" t="s">
        <v>216</v>
      </c>
      <c r="AD59" s="140"/>
      <c r="AE59" s="141"/>
      <c r="AF59" s="140"/>
      <c r="AG59" s="141"/>
      <c r="AH59" s="142"/>
      <c r="AI59" s="138"/>
      <c r="AJ59" s="138"/>
      <c r="AK59" s="138"/>
      <c r="AL59" s="138"/>
    </row>
    <row r="60" spans="2:38" ht="13.9" customHeight="1" x14ac:dyDescent="0.25">
      <c r="B60" s="71"/>
      <c r="G60" s="79"/>
      <c r="H60" s="71"/>
      <c r="I60" s="79"/>
      <c r="J60" s="71"/>
      <c r="K60" s="79"/>
      <c r="L60" s="79"/>
      <c r="M60" s="79"/>
      <c r="N60" s="71"/>
      <c r="O60" s="79"/>
      <c r="P60" s="71"/>
      <c r="R60" s="71"/>
      <c r="S60" s="79"/>
      <c r="T60" s="71"/>
      <c r="V60" s="71"/>
      <c r="W60" s="173" t="s">
        <v>261</v>
      </c>
      <c r="X60" s="71"/>
      <c r="Y60" s="173" t="s">
        <v>282</v>
      </c>
      <c r="Z60" s="73"/>
      <c r="AA60" s="175" t="s">
        <v>294</v>
      </c>
      <c r="AB60" s="73" t="s">
        <v>108</v>
      </c>
      <c r="AC60" s="176" t="s">
        <v>177</v>
      </c>
      <c r="AD60" s="179" t="s">
        <v>263</v>
      </c>
      <c r="AE60" s="141"/>
      <c r="AF60" s="140"/>
      <c r="AG60" s="141"/>
      <c r="AH60" s="140"/>
      <c r="AI60" s="138"/>
      <c r="AJ60" s="138"/>
      <c r="AK60" s="138"/>
      <c r="AL60" s="138"/>
    </row>
    <row r="61" spans="2:38" ht="13.9" customHeight="1" x14ac:dyDescent="0.25">
      <c r="B61" s="71"/>
      <c r="G61" s="79"/>
      <c r="H61" s="71"/>
      <c r="I61" s="79"/>
      <c r="J61" s="71"/>
      <c r="K61" s="79"/>
      <c r="L61" s="79"/>
      <c r="M61" s="79"/>
      <c r="N61" s="71"/>
      <c r="O61" s="79"/>
      <c r="P61" s="71"/>
      <c r="R61" s="71"/>
      <c r="S61" s="79"/>
      <c r="T61" s="71"/>
      <c r="V61" s="71"/>
      <c r="W61" s="79"/>
      <c r="X61" s="71"/>
      <c r="Z61" s="71"/>
      <c r="AB61" s="71"/>
      <c r="AD61" s="71" t="s">
        <v>106</v>
      </c>
      <c r="AE61" s="172" t="s">
        <v>189</v>
      </c>
      <c r="AF61" s="177" t="s">
        <v>290</v>
      </c>
      <c r="AG61" s="139"/>
      <c r="AH61" s="138"/>
      <c r="AI61" s="138"/>
      <c r="AJ61" s="138"/>
      <c r="AK61" s="138"/>
      <c r="AL61" s="138"/>
    </row>
    <row r="62" spans="2:38" ht="13.9" customHeight="1" x14ac:dyDescent="0.25">
      <c r="B62" s="71"/>
      <c r="G62" s="79"/>
      <c r="H62" s="71"/>
      <c r="I62" s="79"/>
      <c r="J62" s="71"/>
      <c r="K62" s="79"/>
      <c r="L62" s="79"/>
      <c r="M62" s="79"/>
      <c r="N62" s="71"/>
      <c r="O62" s="79"/>
      <c r="P62" s="71"/>
      <c r="R62" s="71"/>
      <c r="S62" s="79"/>
      <c r="T62" s="71"/>
      <c r="V62" s="71"/>
      <c r="W62" s="79"/>
      <c r="X62" s="71"/>
      <c r="Z62" s="71"/>
      <c r="AB62" s="71" t="s">
        <v>106</v>
      </c>
      <c r="AC62" s="172" t="s">
        <v>199</v>
      </c>
      <c r="AD62" s="71" t="s">
        <v>107</v>
      </c>
      <c r="AE62" s="172" t="s">
        <v>200</v>
      </c>
      <c r="AF62" s="177" t="s">
        <v>291</v>
      </c>
      <c r="AG62" s="139"/>
      <c r="AH62" s="138"/>
      <c r="AI62" s="138"/>
      <c r="AJ62" s="138"/>
      <c r="AK62" s="138"/>
      <c r="AL62" s="138"/>
    </row>
    <row r="63" spans="2:38" ht="13.9" customHeight="1" x14ac:dyDescent="0.25">
      <c r="B63" s="71"/>
      <c r="G63" s="79"/>
      <c r="H63" s="71"/>
      <c r="I63" s="79"/>
      <c r="J63" s="71"/>
      <c r="K63" s="79"/>
      <c r="L63" s="79"/>
      <c r="M63" s="79"/>
      <c r="N63" s="71"/>
      <c r="O63" s="79"/>
      <c r="P63" s="71"/>
      <c r="R63" s="71"/>
      <c r="S63" s="79"/>
      <c r="T63" s="71"/>
      <c r="V63" s="71"/>
      <c r="W63" s="79"/>
      <c r="X63" s="71"/>
      <c r="Z63" s="71"/>
      <c r="AB63" s="73"/>
      <c r="AC63" s="175" t="s">
        <v>288</v>
      </c>
      <c r="AD63" s="73" t="s">
        <v>108</v>
      </c>
      <c r="AE63" s="176" t="s">
        <v>191</v>
      </c>
      <c r="AF63" s="178" t="s">
        <v>292</v>
      </c>
      <c r="AG63" s="141"/>
      <c r="AH63" s="140"/>
      <c r="AI63" s="138"/>
      <c r="AJ63" s="138"/>
      <c r="AK63" s="138"/>
      <c r="AL63" s="138"/>
    </row>
    <row r="64" spans="2:38" ht="13.9" customHeight="1" x14ac:dyDescent="0.25">
      <c r="B64" s="71"/>
      <c r="G64" s="79"/>
      <c r="H64" s="71"/>
      <c r="I64" s="79"/>
      <c r="J64" s="71"/>
      <c r="K64" s="79"/>
      <c r="L64" s="79"/>
      <c r="M64" s="79"/>
      <c r="N64" s="71"/>
      <c r="O64" s="79"/>
      <c r="P64" s="71"/>
      <c r="R64" s="71"/>
      <c r="S64" s="79"/>
      <c r="T64" s="71"/>
      <c r="V64" s="71"/>
      <c r="W64" s="79"/>
      <c r="X64" s="71"/>
      <c r="Z64" s="71"/>
      <c r="AB64" s="71"/>
      <c r="AD64" s="73" t="s">
        <v>106</v>
      </c>
      <c r="AE64" s="176" t="s">
        <v>190</v>
      </c>
      <c r="AF64" s="179" t="s">
        <v>293</v>
      </c>
      <c r="AG64" s="141"/>
      <c r="AH64" s="140"/>
      <c r="AI64" s="138"/>
      <c r="AJ64" s="138"/>
      <c r="AK64" s="138"/>
      <c r="AL64" s="138"/>
    </row>
    <row r="65" spans="2:38" ht="13.9" customHeight="1" x14ac:dyDescent="0.25">
      <c r="B65" s="71"/>
      <c r="G65" s="79"/>
      <c r="H65" s="71"/>
      <c r="I65" s="79"/>
      <c r="J65" s="71"/>
      <c r="K65" s="79"/>
      <c r="L65" s="79"/>
      <c r="M65" s="79"/>
      <c r="N65" s="71"/>
      <c r="O65" s="79"/>
      <c r="P65" s="71"/>
      <c r="R65" s="71"/>
      <c r="S65" s="79"/>
      <c r="T65" s="71"/>
      <c r="V65" s="71"/>
      <c r="W65" s="79"/>
      <c r="X65" s="71"/>
      <c r="Z65" s="71"/>
      <c r="AB65" s="71"/>
      <c r="AD65" s="71"/>
      <c r="AF65" s="71" t="s">
        <v>106</v>
      </c>
      <c r="AG65" s="135" t="s">
        <v>217</v>
      </c>
      <c r="AH65" s="138"/>
      <c r="AI65" s="138"/>
      <c r="AJ65" s="138"/>
      <c r="AK65" s="138"/>
      <c r="AL65" s="138"/>
    </row>
    <row r="66" spans="2:38" ht="13.9" customHeight="1" x14ac:dyDescent="0.25">
      <c r="B66" s="71"/>
      <c r="G66" s="79"/>
      <c r="H66" s="71"/>
      <c r="I66" s="79"/>
      <c r="J66" s="71"/>
      <c r="K66" s="79"/>
      <c r="L66" s="79"/>
      <c r="M66" s="79"/>
      <c r="N66" s="71"/>
      <c r="O66" s="79"/>
      <c r="P66" s="71"/>
      <c r="R66" s="71"/>
      <c r="S66" s="79"/>
      <c r="T66" s="71"/>
      <c r="V66" s="71"/>
      <c r="W66" s="79"/>
      <c r="Y66"/>
      <c r="Z66" t="s">
        <v>108</v>
      </c>
      <c r="AA66" s="180" t="s">
        <v>192</v>
      </c>
      <c r="AB66" s="71" t="s">
        <v>107</v>
      </c>
      <c r="AC66" s="172" t="s">
        <v>198</v>
      </c>
      <c r="AD66" s="71" t="s">
        <v>107</v>
      </c>
      <c r="AE66" s="172" t="s">
        <v>193</v>
      </c>
      <c r="AF66" s="71" t="s">
        <v>107</v>
      </c>
      <c r="AG66" s="135" t="s">
        <v>216</v>
      </c>
      <c r="AH66" s="138"/>
      <c r="AI66" s="138"/>
      <c r="AJ66" s="138"/>
      <c r="AK66" s="138"/>
      <c r="AL66" s="138"/>
    </row>
    <row r="67" spans="2:38" ht="13.9" customHeight="1" x14ac:dyDescent="0.25">
      <c r="B67" s="71"/>
      <c r="G67" s="79"/>
      <c r="H67" s="71"/>
      <c r="I67" s="79"/>
      <c r="J67" s="71"/>
      <c r="K67" s="79"/>
      <c r="L67" s="79"/>
      <c r="M67" s="79"/>
      <c r="N67" s="71"/>
      <c r="O67" s="79"/>
      <c r="P67" s="71"/>
      <c r="R67" s="71"/>
      <c r="S67" s="79"/>
      <c r="T67" s="71"/>
      <c r="V67" s="71"/>
      <c r="W67" s="79"/>
      <c r="Y67"/>
      <c r="AA67" s="173">
        <v>37</v>
      </c>
      <c r="AB67" s="71"/>
      <c r="AC67" s="173" t="s">
        <v>289</v>
      </c>
      <c r="AD67" s="73"/>
      <c r="AE67" s="175" t="s">
        <v>294</v>
      </c>
      <c r="AF67" s="73" t="s">
        <v>108</v>
      </c>
      <c r="AG67" s="176" t="s">
        <v>177</v>
      </c>
      <c r="AH67" s="179" t="s">
        <v>263</v>
      </c>
      <c r="AI67" s="138"/>
      <c r="AJ67" s="138"/>
      <c r="AK67" s="138"/>
      <c r="AL67" s="138"/>
    </row>
    <row r="68" spans="2:38" ht="13.9" customHeight="1" x14ac:dyDescent="0.25">
      <c r="B68" s="71"/>
      <c r="G68" s="79"/>
      <c r="H68" s="71"/>
      <c r="I68" s="79"/>
      <c r="J68" s="71"/>
      <c r="K68" s="79"/>
      <c r="L68" s="79"/>
      <c r="M68" s="79"/>
      <c r="N68" s="71"/>
      <c r="O68" s="79"/>
      <c r="P68" s="71"/>
      <c r="R68" s="71"/>
      <c r="S68" s="79"/>
      <c r="T68" s="71"/>
      <c r="V68" s="71"/>
      <c r="W68" s="79"/>
      <c r="Y68"/>
      <c r="AA68" s="2"/>
      <c r="AB68" s="71"/>
      <c r="AD68" s="71"/>
      <c r="AF68" s="73" t="s">
        <v>106</v>
      </c>
      <c r="AG68" s="176" t="s">
        <v>199</v>
      </c>
      <c r="AH68" s="179" t="s">
        <v>288</v>
      </c>
      <c r="AI68" s="142"/>
      <c r="AJ68" s="138"/>
      <c r="AK68" s="138"/>
      <c r="AL68" s="138"/>
    </row>
    <row r="69" spans="2:38" ht="13.9" customHeight="1" x14ac:dyDescent="0.25">
      <c r="B69" s="71"/>
      <c r="G69" s="79"/>
      <c r="H69" s="71"/>
      <c r="I69" s="79"/>
      <c r="J69" s="71"/>
      <c r="K69" s="79"/>
      <c r="L69" s="79"/>
      <c r="M69" s="79"/>
      <c r="N69" s="71"/>
      <c r="O69" s="79"/>
      <c r="P69" s="71"/>
      <c r="R69" s="71"/>
      <c r="S69" s="79"/>
      <c r="T69" s="71"/>
      <c r="V69" s="71"/>
      <c r="W69" s="79"/>
      <c r="Y69"/>
      <c r="AA69" s="2"/>
      <c r="AB69" s="71"/>
      <c r="AD69" s="71"/>
      <c r="AF69" s="71"/>
      <c r="AG69" s="173"/>
      <c r="AH69" s="71" t="s">
        <v>106</v>
      </c>
      <c r="AI69" s="172" t="s">
        <v>190</v>
      </c>
      <c r="AJ69" s="177" t="s">
        <v>293</v>
      </c>
      <c r="AK69" s="138"/>
      <c r="AL69" s="138"/>
    </row>
    <row r="70" spans="2:38" ht="13.9" customHeight="1" x14ac:dyDescent="0.25">
      <c r="B70" s="71"/>
      <c r="G70" s="79"/>
      <c r="H70" s="71"/>
      <c r="I70" s="79"/>
      <c r="J70" s="71"/>
      <c r="K70" s="79"/>
      <c r="L70" s="79"/>
      <c r="M70" s="79"/>
      <c r="N70" s="71"/>
      <c r="O70" s="79"/>
      <c r="P70" s="71"/>
      <c r="R70" s="71"/>
      <c r="S70" s="79"/>
      <c r="T70" s="71"/>
      <c r="V70" s="71"/>
      <c r="W70" s="79"/>
      <c r="Y70"/>
      <c r="AA70" s="2"/>
      <c r="AB70" s="71"/>
      <c r="AD70" s="71" t="s">
        <v>108</v>
      </c>
      <c r="AE70" s="172" t="s">
        <v>192</v>
      </c>
      <c r="AF70" s="71" t="s">
        <v>107</v>
      </c>
      <c r="AG70" s="172" t="s">
        <v>198</v>
      </c>
      <c r="AH70" s="71" t="s">
        <v>107</v>
      </c>
      <c r="AI70" s="172" t="s">
        <v>193</v>
      </c>
      <c r="AJ70" s="177" t="s">
        <v>294</v>
      </c>
      <c r="AK70" s="138"/>
      <c r="AL70" s="138"/>
    </row>
    <row r="71" spans="2:38" ht="13.9" customHeight="1" x14ac:dyDescent="0.25">
      <c r="B71" s="71"/>
      <c r="G71" s="79"/>
      <c r="H71" s="71"/>
      <c r="I71" s="79"/>
      <c r="J71" s="71"/>
      <c r="K71" s="79"/>
      <c r="L71" s="79"/>
      <c r="M71" s="79"/>
      <c r="N71" s="71"/>
      <c r="O71" s="79"/>
      <c r="P71" s="71"/>
      <c r="R71" s="71"/>
      <c r="S71" s="79"/>
      <c r="T71" s="71"/>
      <c r="V71" s="71"/>
      <c r="W71" s="79"/>
      <c r="Y71"/>
      <c r="AA71" s="2"/>
      <c r="AB71" s="71"/>
      <c r="AD71" s="71"/>
      <c r="AE71" s="173" t="s">
        <v>295</v>
      </c>
      <c r="AF71" s="73"/>
      <c r="AG71" s="175" t="s">
        <v>289</v>
      </c>
      <c r="AH71" s="73" t="s">
        <v>108</v>
      </c>
      <c r="AI71" s="176" t="s">
        <v>192</v>
      </c>
      <c r="AJ71" s="178" t="s">
        <v>295</v>
      </c>
      <c r="AK71" s="138"/>
      <c r="AL71" s="138"/>
    </row>
    <row r="72" spans="2:38" ht="13.9" customHeight="1" x14ac:dyDescent="0.25">
      <c r="B72" s="71"/>
      <c r="G72" s="79"/>
      <c r="H72" s="71"/>
      <c r="I72" s="79"/>
      <c r="J72" s="71"/>
      <c r="K72" s="79"/>
      <c r="L72" s="79"/>
      <c r="M72" s="79"/>
      <c r="N72" s="71"/>
      <c r="O72" s="79"/>
      <c r="P72" s="71"/>
      <c r="R72" s="71"/>
      <c r="S72" s="79"/>
      <c r="T72" s="71"/>
      <c r="V72" s="71"/>
      <c r="W72" s="79"/>
      <c r="Y72"/>
      <c r="AA72" s="2"/>
      <c r="AB72" s="73"/>
      <c r="AC72" s="80"/>
      <c r="AD72" s="73"/>
      <c r="AE72" s="80"/>
      <c r="AF72" s="73" t="s">
        <v>108</v>
      </c>
      <c r="AG72" s="176" t="s">
        <v>180</v>
      </c>
      <c r="AH72" s="179" t="s">
        <v>268</v>
      </c>
      <c r="AI72" s="142"/>
      <c r="AJ72" s="138"/>
      <c r="AK72" s="138"/>
      <c r="AL72" s="138"/>
    </row>
    <row r="73" spans="2:38" ht="13.9" customHeight="1" x14ac:dyDescent="0.25">
      <c r="B73" s="71"/>
      <c r="G73" s="79"/>
      <c r="H73" s="71"/>
      <c r="I73" s="79"/>
      <c r="J73" s="71"/>
      <c r="K73" s="79"/>
      <c r="L73" s="79"/>
      <c r="M73" s="79"/>
      <c r="N73" s="71"/>
      <c r="O73" s="79"/>
      <c r="P73" s="71"/>
      <c r="R73" s="71"/>
      <c r="S73" s="79"/>
      <c r="T73" s="71"/>
      <c r="V73" s="71"/>
      <c r="W73" s="79"/>
      <c r="Y73"/>
      <c r="AA73" s="2"/>
      <c r="AB73" s="71"/>
      <c r="AD73" s="73" t="s">
        <v>106</v>
      </c>
      <c r="AE73" s="176" t="s">
        <v>170</v>
      </c>
      <c r="AF73" s="179" t="s">
        <v>277</v>
      </c>
      <c r="AG73" s="142"/>
      <c r="AH73" s="140"/>
      <c r="AI73" s="138"/>
      <c r="AJ73" s="138"/>
      <c r="AK73" s="138"/>
      <c r="AL73" s="138"/>
    </row>
    <row r="74" spans="2:38" ht="13.9" customHeight="1" x14ac:dyDescent="0.25">
      <c r="B74" s="71"/>
      <c r="G74" s="79"/>
      <c r="H74" s="71"/>
      <c r="I74" s="79"/>
      <c r="J74" s="71"/>
      <c r="K74" s="79"/>
      <c r="L74" s="79"/>
      <c r="M74" s="79"/>
      <c r="N74" s="71"/>
      <c r="O74" s="79"/>
      <c r="P74" s="71"/>
      <c r="R74" s="71"/>
      <c r="S74" s="79"/>
      <c r="T74" s="71"/>
      <c r="V74" s="71"/>
      <c r="W74" s="79"/>
      <c r="X74" s="79"/>
      <c r="Z74" s="79"/>
      <c r="AB74" s="79" t="s">
        <v>108</v>
      </c>
      <c r="AC74" s="172" t="s">
        <v>180</v>
      </c>
      <c r="AD74" s="73" t="s">
        <v>107</v>
      </c>
      <c r="AE74" s="176" t="s">
        <v>169</v>
      </c>
      <c r="AF74" s="179" t="s">
        <v>274</v>
      </c>
      <c r="AG74" s="141"/>
      <c r="AH74" s="140"/>
      <c r="AI74" s="138"/>
      <c r="AJ74" s="138"/>
      <c r="AK74" s="138"/>
      <c r="AL74" s="138"/>
    </row>
    <row r="75" spans="2:38" ht="13.9" customHeight="1" x14ac:dyDescent="0.25">
      <c r="B75" s="71"/>
      <c r="G75" s="79"/>
      <c r="H75" s="71"/>
      <c r="I75" s="79"/>
      <c r="J75" s="71"/>
      <c r="K75" s="79"/>
      <c r="L75" s="79"/>
      <c r="M75" s="79"/>
      <c r="N75" s="71"/>
      <c r="O75" s="79"/>
      <c r="P75" s="71"/>
      <c r="R75" s="71"/>
      <c r="S75" s="79"/>
      <c r="T75" s="71"/>
      <c r="V75" s="71"/>
      <c r="W75" s="79"/>
      <c r="X75" s="79"/>
      <c r="Z75" s="79"/>
      <c r="AB75" s="79"/>
      <c r="AC75" s="173" t="s">
        <v>268</v>
      </c>
      <c r="AD75" s="71"/>
      <c r="AF75" s="73" t="s">
        <v>106</v>
      </c>
      <c r="AG75" s="176" t="s">
        <v>180</v>
      </c>
      <c r="AH75" s="179" t="s">
        <v>268</v>
      </c>
      <c r="AI75" s="140"/>
      <c r="AJ75" s="140"/>
      <c r="AK75" s="140"/>
      <c r="AL75" s="138"/>
    </row>
    <row r="76" spans="2:38" ht="13.9" customHeight="1" x14ac:dyDescent="0.25">
      <c r="B76" s="71"/>
      <c r="G76" s="79"/>
      <c r="H76" s="71"/>
      <c r="I76" s="79"/>
      <c r="J76" s="71"/>
      <c r="K76" s="79"/>
      <c r="L76" s="79"/>
      <c r="M76" s="79"/>
      <c r="N76" s="71"/>
      <c r="O76" s="79"/>
      <c r="P76" s="71"/>
      <c r="R76" s="71"/>
      <c r="S76" s="79"/>
      <c r="T76" s="71"/>
      <c r="V76" s="71"/>
      <c r="W76" s="79"/>
      <c r="X76" s="79"/>
      <c r="Z76" s="79"/>
      <c r="AB76" s="79"/>
      <c r="AD76" s="71"/>
      <c r="AF76" s="71"/>
      <c r="AH76" s="71" t="s">
        <v>106</v>
      </c>
      <c r="AI76" s="172" t="s">
        <v>171</v>
      </c>
      <c r="AJ76" s="179" t="s">
        <v>271</v>
      </c>
      <c r="AK76" s="147"/>
      <c r="AL76" s="140"/>
    </row>
    <row r="77" spans="2:38" ht="13.9" customHeight="1" x14ac:dyDescent="0.25">
      <c r="B77" s="71"/>
      <c r="G77" s="79"/>
      <c r="H77" s="71"/>
      <c r="I77" s="79"/>
      <c r="J77" s="71"/>
      <c r="K77" s="79"/>
      <c r="L77" s="79"/>
      <c r="M77" s="79"/>
      <c r="N77" s="71"/>
      <c r="O77" s="79"/>
      <c r="P77" s="71"/>
      <c r="R77" s="71"/>
      <c r="S77" s="79"/>
      <c r="T77" s="71"/>
      <c r="V77" s="71"/>
      <c r="W77" s="79"/>
      <c r="X77" s="79"/>
      <c r="Z77" s="79"/>
      <c r="AB77" s="79"/>
      <c r="AD77" s="71"/>
      <c r="AF77" s="71"/>
      <c r="AH77" s="74"/>
      <c r="AI77" s="136"/>
      <c r="AJ77" s="71" t="s">
        <v>106</v>
      </c>
      <c r="AK77" s="172" t="s">
        <v>184</v>
      </c>
      <c r="AL77" s="177" t="s">
        <v>278</v>
      </c>
    </row>
    <row r="78" spans="2:38" ht="13.9" customHeight="1" x14ac:dyDescent="0.25">
      <c r="B78" s="71"/>
      <c r="G78" s="79"/>
      <c r="H78" s="71"/>
      <c r="I78" s="79"/>
      <c r="J78" s="71"/>
      <c r="K78" s="79"/>
      <c r="L78" s="79"/>
      <c r="M78" s="79"/>
      <c r="N78" s="71"/>
      <c r="O78" s="79"/>
      <c r="P78" s="71"/>
      <c r="R78" s="71"/>
      <c r="S78" s="79"/>
      <c r="T78" s="71"/>
      <c r="V78" s="71"/>
      <c r="W78" s="79"/>
      <c r="X78" s="79"/>
      <c r="Z78" s="79"/>
      <c r="AB78" s="79"/>
      <c r="AD78" s="79" t="s">
        <v>108</v>
      </c>
      <c r="AE78" s="172" t="s">
        <v>168</v>
      </c>
      <c r="AF78" s="71" t="s">
        <v>107</v>
      </c>
      <c r="AG78" s="172" t="s">
        <v>179</v>
      </c>
      <c r="AH78" s="71" t="s">
        <v>107</v>
      </c>
      <c r="AI78" s="172" t="s">
        <v>167</v>
      </c>
      <c r="AJ78" s="71" t="s">
        <v>107</v>
      </c>
      <c r="AK78" s="172" t="s">
        <v>183</v>
      </c>
      <c r="AL78" s="177" t="s">
        <v>279</v>
      </c>
    </row>
    <row r="79" spans="2:38" ht="13.9" customHeight="1" x14ac:dyDescent="0.25">
      <c r="B79" s="71"/>
      <c r="G79" s="79"/>
      <c r="H79" s="71"/>
      <c r="I79" s="79"/>
      <c r="J79" s="71"/>
      <c r="K79" s="79"/>
      <c r="L79" s="79"/>
      <c r="M79" s="79"/>
      <c r="N79" s="71"/>
      <c r="O79" s="79"/>
      <c r="P79" s="71"/>
      <c r="R79" s="71"/>
      <c r="S79" s="79"/>
      <c r="T79" s="71"/>
      <c r="V79" s="71"/>
      <c r="W79" s="79"/>
      <c r="X79" s="79"/>
      <c r="Z79" s="79"/>
      <c r="AB79" s="79"/>
      <c r="AD79" s="79"/>
      <c r="AE79" s="173" t="s">
        <v>267</v>
      </c>
      <c r="AF79" s="71"/>
      <c r="AG79" s="173" t="s">
        <v>270</v>
      </c>
      <c r="AH79" s="71"/>
      <c r="AI79" s="175" t="s">
        <v>272</v>
      </c>
      <c r="AJ79" s="73" t="s">
        <v>108</v>
      </c>
      <c r="AK79" s="176" t="s">
        <v>171</v>
      </c>
      <c r="AL79" s="178" t="s">
        <v>271</v>
      </c>
    </row>
    <row r="80" spans="2:38" ht="13.9" customHeight="1" x14ac:dyDescent="0.25">
      <c r="B80" s="71"/>
      <c r="G80" s="79"/>
      <c r="H80" s="71"/>
      <c r="I80" s="79"/>
      <c r="J80" s="71"/>
      <c r="K80" s="79"/>
      <c r="L80" s="79"/>
      <c r="M80" s="79"/>
      <c r="N80" s="71"/>
      <c r="O80" s="79"/>
      <c r="P80" s="71"/>
      <c r="R80" s="71"/>
      <c r="S80" s="79"/>
      <c r="T80" s="71"/>
      <c r="V80" s="71"/>
      <c r="W80" s="79"/>
      <c r="X80" s="79"/>
      <c r="Z80" s="79"/>
      <c r="AB80" s="79"/>
      <c r="AD80" s="79"/>
      <c r="AF80" s="71"/>
      <c r="AH80" s="71"/>
      <c r="AI80" s="79"/>
      <c r="AJ80" s="71" t="s">
        <v>106</v>
      </c>
      <c r="AK80" s="172" t="s">
        <v>186</v>
      </c>
      <c r="AL80" s="177" t="s">
        <v>281</v>
      </c>
    </row>
    <row r="81" spans="2:38" ht="13.9" customHeight="1" x14ac:dyDescent="0.25">
      <c r="B81" s="71"/>
      <c r="G81" s="79"/>
      <c r="H81" s="71"/>
      <c r="I81" s="79"/>
      <c r="J81" s="71"/>
      <c r="K81" s="79"/>
      <c r="L81" s="79"/>
      <c r="M81" s="79"/>
      <c r="N81" s="71"/>
      <c r="O81" s="79"/>
      <c r="P81" s="71"/>
      <c r="R81" s="71"/>
      <c r="S81" s="79"/>
      <c r="T81" s="71"/>
      <c r="V81" s="71"/>
      <c r="W81" s="79"/>
      <c r="X81" s="79"/>
      <c r="Z81" s="79"/>
      <c r="AB81" s="79"/>
      <c r="AD81" s="79"/>
      <c r="AF81" s="79"/>
      <c r="AH81" s="79" t="s">
        <v>108</v>
      </c>
      <c r="AI81" s="172" t="s">
        <v>166</v>
      </c>
      <c r="AJ81" s="71" t="s">
        <v>107</v>
      </c>
      <c r="AK81" s="172" t="s">
        <v>185</v>
      </c>
      <c r="AL81" s="177" t="s">
        <v>282</v>
      </c>
    </row>
    <row r="82" spans="2:38" ht="13.9" customHeight="1" x14ac:dyDescent="0.25">
      <c r="B82" s="71"/>
      <c r="G82" s="79"/>
      <c r="H82" s="71"/>
      <c r="I82" s="79"/>
      <c r="J82" s="71"/>
      <c r="K82" s="79"/>
      <c r="L82" s="79"/>
      <c r="M82" s="79"/>
      <c r="N82" s="71"/>
      <c r="O82" s="79"/>
      <c r="P82" s="71"/>
      <c r="R82" s="71"/>
      <c r="S82" s="79"/>
      <c r="T82" s="71"/>
      <c r="V82" s="71"/>
      <c r="W82" s="79"/>
      <c r="X82" s="79"/>
      <c r="Z82" s="79"/>
      <c r="AB82" s="79"/>
      <c r="AD82" s="79"/>
      <c r="AF82" s="73"/>
      <c r="AG82" s="80"/>
      <c r="AH82" s="73"/>
      <c r="AI82" s="175" t="s">
        <v>273</v>
      </c>
      <c r="AJ82" s="73" t="s">
        <v>108</v>
      </c>
      <c r="AK82" s="176" t="s">
        <v>163</v>
      </c>
      <c r="AL82" s="178" t="s">
        <v>280</v>
      </c>
    </row>
    <row r="83" spans="2:38" ht="13.9" customHeight="1" x14ac:dyDescent="0.25">
      <c r="B83" s="71"/>
      <c r="G83" s="79"/>
      <c r="H83" s="71"/>
      <c r="I83" s="79"/>
      <c r="J83" s="71"/>
      <c r="K83" s="79"/>
      <c r="L83" s="79"/>
      <c r="M83" s="79"/>
      <c r="N83" s="71"/>
      <c r="O83" s="79"/>
      <c r="P83" s="71"/>
      <c r="R83" s="71"/>
      <c r="S83" s="79"/>
      <c r="T83" s="71"/>
      <c r="V83" s="71"/>
      <c r="W83" s="79"/>
      <c r="X83" s="73"/>
      <c r="Y83" s="80"/>
      <c r="Z83" s="73"/>
      <c r="AA83" s="80"/>
      <c r="AB83" s="73"/>
      <c r="AC83" s="80"/>
      <c r="AD83" s="73"/>
      <c r="AE83" s="80"/>
      <c r="AF83" s="73" t="s">
        <v>108</v>
      </c>
      <c r="AG83" s="176" t="s">
        <v>178</v>
      </c>
      <c r="AH83" s="179" t="s">
        <v>269</v>
      </c>
      <c r="AI83" s="138"/>
      <c r="AJ83" s="138"/>
      <c r="AK83" s="138"/>
      <c r="AL83" s="138"/>
    </row>
    <row r="84" spans="2:38" ht="13.9" customHeight="1" x14ac:dyDescent="0.25">
      <c r="B84" s="71"/>
      <c r="G84" s="79"/>
      <c r="H84" s="71"/>
      <c r="I84" s="79"/>
      <c r="J84" s="71"/>
      <c r="K84" s="79"/>
      <c r="L84" s="79"/>
      <c r="M84" s="79"/>
      <c r="N84" s="71"/>
      <c r="O84" s="79"/>
      <c r="P84" s="71"/>
      <c r="R84" s="71"/>
      <c r="S84" s="79"/>
      <c r="T84" s="71"/>
      <c r="V84" s="71"/>
      <c r="W84" s="79"/>
      <c r="X84" s="71"/>
      <c r="Z84" s="71"/>
      <c r="AB84" s="71" t="s">
        <v>106</v>
      </c>
      <c r="AC84" s="172" t="s">
        <v>174</v>
      </c>
      <c r="AD84" s="177" t="s">
        <v>266</v>
      </c>
      <c r="AE84" s="139"/>
      <c r="AF84" s="145"/>
      <c r="AG84" s="139"/>
      <c r="AH84" s="138"/>
      <c r="AI84" s="138"/>
      <c r="AJ84" s="138"/>
      <c r="AK84" s="138"/>
      <c r="AL84" s="138"/>
    </row>
    <row r="85" spans="2:38" ht="13.15" customHeight="1" x14ac:dyDescent="0.25">
      <c r="B85" s="71"/>
      <c r="G85" s="79"/>
      <c r="H85" s="71"/>
      <c r="I85" s="79"/>
      <c r="J85" s="71"/>
      <c r="K85" s="79"/>
      <c r="L85" s="79"/>
      <c r="M85" s="79"/>
      <c r="N85" s="71"/>
      <c r="O85" s="79"/>
      <c r="P85" s="71"/>
      <c r="R85" s="71"/>
      <c r="S85" s="79"/>
      <c r="T85" s="71"/>
      <c r="V85" s="71"/>
      <c r="W85" s="79"/>
      <c r="X85" s="71"/>
      <c r="Z85" s="71" t="s">
        <v>106</v>
      </c>
      <c r="AA85" s="172" t="s">
        <v>170</v>
      </c>
      <c r="AB85" s="71" t="s">
        <v>107</v>
      </c>
      <c r="AC85" s="172" t="s">
        <v>173</v>
      </c>
      <c r="AD85" s="177" t="s">
        <v>265</v>
      </c>
      <c r="AE85" s="139"/>
      <c r="AF85" s="138"/>
      <c r="AG85" s="139"/>
      <c r="AH85" s="138"/>
      <c r="AI85" s="138"/>
      <c r="AJ85" s="138"/>
      <c r="AK85" s="138"/>
      <c r="AL85" s="138"/>
    </row>
    <row r="86" spans="2:38" ht="13.15" customHeight="1" x14ac:dyDescent="0.25">
      <c r="B86" s="71"/>
      <c r="G86" s="79"/>
      <c r="H86" s="71"/>
      <c r="I86" s="79"/>
      <c r="J86" s="71"/>
      <c r="K86" s="79"/>
      <c r="L86" s="79"/>
      <c r="M86" s="79"/>
      <c r="N86" s="71"/>
      <c r="O86" s="79"/>
      <c r="P86" s="71"/>
      <c r="R86" s="71"/>
      <c r="S86" s="79"/>
      <c r="T86" s="71"/>
      <c r="V86" s="71"/>
      <c r="W86" s="79"/>
      <c r="X86" s="71"/>
      <c r="Z86" s="73"/>
      <c r="AA86" s="175" t="s">
        <v>277</v>
      </c>
      <c r="AB86" s="73" t="s">
        <v>108</v>
      </c>
      <c r="AC86" s="176" t="s">
        <v>172</v>
      </c>
      <c r="AD86" s="178" t="s">
        <v>264</v>
      </c>
      <c r="AE86" s="141"/>
      <c r="AF86" s="140"/>
      <c r="AG86" s="141"/>
      <c r="AH86" s="140"/>
      <c r="AI86" s="138"/>
      <c r="AJ86" s="138"/>
      <c r="AK86" s="138"/>
      <c r="AL86" s="138"/>
    </row>
    <row r="87" spans="2:38" ht="13.9" customHeight="1" x14ac:dyDescent="0.25">
      <c r="B87" s="71"/>
      <c r="G87" s="79"/>
      <c r="H87" s="71"/>
      <c r="I87" s="79"/>
      <c r="J87" s="71"/>
      <c r="K87" s="79"/>
      <c r="L87" s="79"/>
      <c r="M87" s="79"/>
      <c r="N87" s="71"/>
      <c r="O87" s="79"/>
      <c r="P87" s="71"/>
      <c r="R87" s="71"/>
      <c r="S87" s="79"/>
      <c r="T87" s="71"/>
      <c r="V87" s="71"/>
      <c r="W87" s="79"/>
      <c r="X87" s="71"/>
      <c r="Z87" s="71"/>
      <c r="AB87" s="71" t="s">
        <v>106</v>
      </c>
      <c r="AC87" s="172" t="s">
        <v>177</v>
      </c>
      <c r="AD87" s="177" t="s">
        <v>263</v>
      </c>
      <c r="AE87" s="139"/>
      <c r="AF87" s="138"/>
      <c r="AG87" s="139"/>
      <c r="AH87" s="138"/>
      <c r="AI87" s="138"/>
      <c r="AJ87" s="138"/>
      <c r="AK87" s="138"/>
      <c r="AL87" s="138"/>
    </row>
    <row r="88" spans="2:38" ht="13.9" customHeight="1" x14ac:dyDescent="0.25">
      <c r="B88" s="71"/>
      <c r="G88" s="79"/>
      <c r="H88" s="71"/>
      <c r="I88" s="79"/>
      <c r="J88" s="71"/>
      <c r="K88" s="79"/>
      <c r="L88" s="79"/>
      <c r="M88" s="79"/>
      <c r="N88" s="71"/>
      <c r="O88" s="79"/>
      <c r="P88" s="71"/>
      <c r="R88" s="71"/>
      <c r="S88" s="79"/>
      <c r="T88" s="71"/>
      <c r="V88" s="71"/>
      <c r="W88" s="79"/>
      <c r="X88" s="71" t="s">
        <v>108</v>
      </c>
      <c r="Y88" s="172" t="s">
        <v>163</v>
      </c>
      <c r="Z88" s="71" t="s">
        <v>107</v>
      </c>
      <c r="AA88" s="172" t="s">
        <v>169</v>
      </c>
      <c r="AB88" s="71" t="s">
        <v>107</v>
      </c>
      <c r="AC88" s="172" t="s">
        <v>176</v>
      </c>
      <c r="AD88" s="177" t="s">
        <v>262</v>
      </c>
      <c r="AE88" s="139"/>
      <c r="AF88" s="138"/>
      <c r="AG88" s="139"/>
      <c r="AH88" s="138"/>
      <c r="AI88" s="138"/>
      <c r="AJ88" s="138"/>
      <c r="AK88" s="138"/>
      <c r="AL88" s="138"/>
    </row>
    <row r="89" spans="2:38" ht="13.9" customHeight="1" x14ac:dyDescent="0.25">
      <c r="B89" s="71"/>
      <c r="G89" s="79"/>
      <c r="H89" s="71"/>
      <c r="I89" s="79"/>
      <c r="J89" s="71"/>
      <c r="K89" s="79"/>
      <c r="L89" s="79"/>
      <c r="M89" s="79"/>
      <c r="N89" s="71"/>
      <c r="O89" s="79"/>
      <c r="P89" s="71"/>
      <c r="R89" s="71"/>
      <c r="S89" s="79"/>
      <c r="T89" s="71"/>
      <c r="V89" s="71"/>
      <c r="W89" s="79"/>
      <c r="X89" s="71"/>
      <c r="Y89" s="173" t="s">
        <v>280</v>
      </c>
      <c r="Z89" s="73"/>
      <c r="AA89" s="175" t="s">
        <v>274</v>
      </c>
      <c r="AB89" s="73" t="s">
        <v>108</v>
      </c>
      <c r="AC89" s="176" t="s">
        <v>175</v>
      </c>
      <c r="AD89" s="178" t="s">
        <v>261</v>
      </c>
      <c r="AE89" s="141"/>
      <c r="AF89" s="140"/>
      <c r="AG89" s="141"/>
      <c r="AH89" s="140"/>
      <c r="AI89" s="138"/>
      <c r="AJ89" s="138"/>
      <c r="AK89" s="138"/>
      <c r="AL89" s="138"/>
    </row>
    <row r="90" spans="2:38" ht="13.9" customHeight="1" x14ac:dyDescent="0.25">
      <c r="B90" s="71"/>
      <c r="G90" s="79"/>
      <c r="H90" s="71"/>
      <c r="I90" s="79"/>
      <c r="J90" s="71"/>
      <c r="K90" s="79"/>
      <c r="L90" s="79"/>
      <c r="M90" s="79"/>
      <c r="N90" s="71"/>
      <c r="O90" s="79"/>
      <c r="P90" s="71"/>
      <c r="R90" s="71"/>
      <c r="S90" s="79"/>
      <c r="T90" s="71"/>
      <c r="V90" s="71"/>
      <c r="W90" s="79"/>
      <c r="X90" s="71"/>
      <c r="Z90" s="71"/>
      <c r="AB90" s="71" t="s">
        <v>106</v>
      </c>
      <c r="AC90" s="172" t="s">
        <v>180</v>
      </c>
      <c r="AD90" s="177" t="s">
        <v>268</v>
      </c>
      <c r="AE90" s="139"/>
      <c r="AF90" s="138"/>
      <c r="AG90" s="139"/>
      <c r="AH90" s="138"/>
      <c r="AI90" s="138"/>
      <c r="AJ90" s="138"/>
      <c r="AK90" s="138"/>
      <c r="AL90" s="138"/>
    </row>
    <row r="91" spans="2:38" ht="13.9" customHeight="1" x14ac:dyDescent="0.25">
      <c r="B91" s="71"/>
      <c r="G91" s="79"/>
      <c r="H91" s="71"/>
      <c r="I91" s="79"/>
      <c r="J91" s="71"/>
      <c r="K91" s="79"/>
      <c r="L91" s="79"/>
      <c r="M91" s="79"/>
      <c r="N91" s="71"/>
      <c r="O91" s="79"/>
      <c r="P91" s="71"/>
      <c r="R91" s="71"/>
      <c r="S91" s="79"/>
      <c r="T91" s="71"/>
      <c r="V91" s="71"/>
      <c r="W91" s="79"/>
      <c r="X91" s="71"/>
      <c r="Z91" s="71" t="s">
        <v>108</v>
      </c>
      <c r="AA91" s="172" t="s">
        <v>168</v>
      </c>
      <c r="AB91" s="71" t="s">
        <v>107</v>
      </c>
      <c r="AC91" s="172" t="s">
        <v>179</v>
      </c>
      <c r="AD91" s="177" t="s">
        <v>270</v>
      </c>
      <c r="AE91" s="139"/>
      <c r="AF91" s="138"/>
      <c r="AG91" s="139"/>
      <c r="AH91" s="138"/>
      <c r="AI91" s="138"/>
      <c r="AJ91" s="138"/>
      <c r="AK91" s="138"/>
      <c r="AL91" s="138"/>
    </row>
    <row r="92" spans="2:38" ht="13.9" customHeight="1" x14ac:dyDescent="0.25">
      <c r="B92" s="71"/>
      <c r="G92" s="79"/>
      <c r="H92" s="71"/>
      <c r="I92" s="79"/>
      <c r="J92" s="71"/>
      <c r="K92" s="79"/>
      <c r="L92" s="79"/>
      <c r="M92" s="79"/>
      <c r="N92" s="71"/>
      <c r="O92" s="79"/>
      <c r="P92" s="71"/>
      <c r="R92" s="71"/>
      <c r="S92" s="79"/>
      <c r="T92" s="73"/>
      <c r="U92" s="80"/>
      <c r="V92" s="73"/>
      <c r="W92" s="80"/>
      <c r="X92" s="73"/>
      <c r="Y92" s="80"/>
      <c r="Z92" s="73"/>
      <c r="AA92" s="175" t="s">
        <v>267</v>
      </c>
      <c r="AB92" s="73" t="s">
        <v>108</v>
      </c>
      <c r="AC92" s="176" t="s">
        <v>178</v>
      </c>
      <c r="AD92" s="178" t="s">
        <v>269</v>
      </c>
      <c r="AE92" s="141"/>
      <c r="AF92" s="140"/>
      <c r="AG92" s="141"/>
      <c r="AH92" s="138"/>
      <c r="AI92" s="138"/>
      <c r="AJ92" s="138"/>
      <c r="AK92" s="138"/>
      <c r="AL92" s="138"/>
    </row>
    <row r="93" spans="2:38" ht="13.9" customHeight="1" x14ac:dyDescent="0.25">
      <c r="B93" s="71"/>
      <c r="G93" s="79"/>
      <c r="H93" s="71"/>
      <c r="I93" s="79"/>
      <c r="J93" s="71"/>
      <c r="K93" s="79"/>
      <c r="L93" s="79"/>
      <c r="M93" s="79"/>
      <c r="N93" s="71"/>
      <c r="O93" s="79"/>
      <c r="P93" s="71"/>
      <c r="R93" s="71"/>
      <c r="S93" s="79"/>
      <c r="T93" s="74"/>
      <c r="U93" s="136"/>
      <c r="V93" s="71"/>
      <c r="W93" s="79"/>
      <c r="X93" s="71" t="s">
        <v>106</v>
      </c>
      <c r="Y93" s="172" t="s">
        <v>170</v>
      </c>
      <c r="Z93" s="177" t="s">
        <v>277</v>
      </c>
      <c r="AA93" s="93"/>
      <c r="AB93" s="138"/>
      <c r="AC93" s="139"/>
      <c r="AD93" s="138"/>
      <c r="AE93" s="139"/>
      <c r="AF93" s="138"/>
      <c r="AG93" s="139"/>
      <c r="AH93" s="138"/>
      <c r="AI93" s="138"/>
      <c r="AJ93" s="138"/>
      <c r="AK93" s="138"/>
      <c r="AL93" s="138"/>
    </row>
    <row r="94" spans="2:38" x14ac:dyDescent="0.25">
      <c r="B94" s="71"/>
      <c r="G94" s="79"/>
      <c r="H94" s="71"/>
      <c r="I94" s="79"/>
      <c r="J94" s="71"/>
      <c r="K94" s="79"/>
      <c r="L94" s="79"/>
      <c r="M94" s="79"/>
      <c r="N94" s="71"/>
      <c r="O94" s="79"/>
      <c r="P94" s="71"/>
      <c r="R94" s="71"/>
      <c r="S94" s="79"/>
      <c r="T94" s="71"/>
      <c r="V94" s="71" t="s">
        <v>106</v>
      </c>
      <c r="W94" s="172" t="s">
        <v>180</v>
      </c>
      <c r="X94" s="71" t="s">
        <v>107</v>
      </c>
      <c r="Y94" s="172" t="s">
        <v>169</v>
      </c>
      <c r="Z94" s="177" t="s">
        <v>274</v>
      </c>
      <c r="AA94" s="93"/>
      <c r="AB94" s="138"/>
      <c r="AC94" s="139"/>
      <c r="AD94" s="138"/>
      <c r="AE94" s="139"/>
      <c r="AF94" s="138"/>
      <c r="AG94" s="139"/>
      <c r="AH94" s="138"/>
      <c r="AI94" s="138"/>
      <c r="AJ94" s="138"/>
      <c r="AK94" s="138"/>
      <c r="AL94" s="138"/>
    </row>
    <row r="95" spans="2:38" x14ac:dyDescent="0.25">
      <c r="B95" s="71"/>
      <c r="G95" s="79"/>
      <c r="H95" s="71"/>
      <c r="I95" s="79"/>
      <c r="J95" s="71"/>
      <c r="K95" s="79"/>
      <c r="L95" s="79"/>
      <c r="M95" s="79"/>
      <c r="N95" s="71"/>
      <c r="O95" s="79"/>
      <c r="P95" s="71"/>
      <c r="R95" s="71"/>
      <c r="S95" s="79"/>
      <c r="T95" s="71"/>
      <c r="V95" s="73"/>
      <c r="W95" s="175" t="s">
        <v>268</v>
      </c>
      <c r="X95" s="73" t="s">
        <v>108</v>
      </c>
      <c r="Y95" s="176" t="s">
        <v>168</v>
      </c>
      <c r="Z95" s="178" t="s">
        <v>267</v>
      </c>
      <c r="AA95" s="93"/>
      <c r="AB95" s="138"/>
      <c r="AC95" s="139"/>
      <c r="AD95" s="138"/>
      <c r="AE95" s="139"/>
      <c r="AF95" s="138"/>
      <c r="AG95" s="139"/>
      <c r="AH95" s="138"/>
      <c r="AI95" s="138"/>
      <c r="AJ95" s="138"/>
      <c r="AK95" s="138"/>
      <c r="AL95" s="138"/>
    </row>
    <row r="96" spans="2:38" x14ac:dyDescent="0.25">
      <c r="B96" s="71"/>
      <c r="G96" s="79"/>
      <c r="H96" s="71"/>
      <c r="I96" s="79"/>
      <c r="J96" s="71"/>
      <c r="K96" s="79"/>
      <c r="L96" s="79"/>
      <c r="M96" s="79"/>
      <c r="N96" s="71"/>
      <c r="O96" s="79"/>
      <c r="P96" s="71"/>
      <c r="R96" s="71"/>
      <c r="S96" s="79"/>
      <c r="T96" s="71"/>
      <c r="V96" s="71"/>
      <c r="W96" s="79"/>
      <c r="X96" s="71" t="s">
        <v>106</v>
      </c>
      <c r="Y96" s="172" t="s">
        <v>171</v>
      </c>
      <c r="Z96" s="177" t="s">
        <v>271</v>
      </c>
      <c r="AA96" s="139"/>
      <c r="AB96" s="138"/>
      <c r="AC96" s="139"/>
      <c r="AD96" s="138"/>
      <c r="AE96" s="139"/>
      <c r="AF96" s="138"/>
      <c r="AG96" s="139"/>
      <c r="AH96" s="138"/>
      <c r="AI96" s="138"/>
      <c r="AJ96" s="138"/>
      <c r="AK96" s="138"/>
      <c r="AL96" s="138"/>
    </row>
    <row r="97" spans="2:38" x14ac:dyDescent="0.25">
      <c r="B97" s="71"/>
      <c r="G97" s="79"/>
      <c r="H97" s="71"/>
      <c r="I97" s="79"/>
      <c r="J97" s="71"/>
      <c r="K97" s="79"/>
      <c r="L97" s="79"/>
      <c r="M97" s="79"/>
      <c r="N97" s="71"/>
      <c r="O97" s="79"/>
      <c r="P97" s="71"/>
      <c r="S97"/>
      <c r="T97" t="s">
        <v>108</v>
      </c>
      <c r="U97" s="180" t="s">
        <v>168</v>
      </c>
      <c r="V97" s="71" t="s">
        <v>107</v>
      </c>
      <c r="W97" s="172" t="s">
        <v>179</v>
      </c>
      <c r="X97" s="71" t="s">
        <v>107</v>
      </c>
      <c r="Y97" s="172" t="s">
        <v>167</v>
      </c>
      <c r="Z97" s="177" t="s">
        <v>272</v>
      </c>
      <c r="AA97" s="139"/>
      <c r="AB97" s="138"/>
      <c r="AC97" s="139"/>
      <c r="AD97" s="138"/>
      <c r="AE97" s="139"/>
      <c r="AF97" s="138"/>
      <c r="AG97" s="139"/>
      <c r="AH97" s="138"/>
      <c r="AI97" s="138"/>
      <c r="AJ97" s="138"/>
      <c r="AK97" s="138"/>
      <c r="AL97" s="138"/>
    </row>
    <row r="98" spans="2:38" x14ac:dyDescent="0.25">
      <c r="B98" s="71"/>
      <c r="G98" s="79"/>
      <c r="H98" s="71"/>
      <c r="I98" s="79"/>
      <c r="J98" s="71"/>
      <c r="K98" s="79"/>
      <c r="L98" s="79"/>
      <c r="M98" s="79"/>
      <c r="N98" s="71"/>
      <c r="O98" s="79"/>
      <c r="P98" s="71"/>
      <c r="S98"/>
      <c r="U98" s="175">
        <v>6</v>
      </c>
      <c r="V98" s="73"/>
      <c r="W98" s="175" t="s">
        <v>270</v>
      </c>
      <c r="X98" s="73" t="s">
        <v>108</v>
      </c>
      <c r="Y98" s="176" t="s">
        <v>166</v>
      </c>
      <c r="Z98" s="178" t="s">
        <v>273</v>
      </c>
      <c r="AA98" s="139"/>
      <c r="AB98" s="138"/>
      <c r="AC98" s="139"/>
      <c r="AD98" s="138"/>
      <c r="AE98" s="139"/>
      <c r="AF98" s="138"/>
      <c r="AG98" s="139"/>
      <c r="AH98" s="138"/>
      <c r="AI98" s="138"/>
      <c r="AJ98" s="138"/>
      <c r="AK98" s="138"/>
      <c r="AL98" s="138"/>
    </row>
    <row r="99" spans="2:38" x14ac:dyDescent="0.25">
      <c r="B99" s="71"/>
      <c r="G99" s="79"/>
      <c r="H99" s="71"/>
      <c r="I99" s="79"/>
      <c r="J99" s="71"/>
      <c r="K99" s="79"/>
      <c r="L99" s="79"/>
      <c r="M99" s="79"/>
      <c r="N99" s="71"/>
      <c r="O99" s="79"/>
      <c r="P99" s="71"/>
      <c r="S99"/>
      <c r="U99" s="2"/>
      <c r="V99" s="71"/>
      <c r="W99" s="79"/>
      <c r="X99" s="71" t="s">
        <v>106</v>
      </c>
      <c r="Y99" s="172" t="s">
        <v>163</v>
      </c>
      <c r="Z99" s="177" t="s">
        <v>280</v>
      </c>
      <c r="AA99" s="139"/>
      <c r="AB99" s="138"/>
      <c r="AC99" s="139"/>
      <c r="AD99" s="138"/>
      <c r="AE99" s="139"/>
      <c r="AF99" s="138"/>
      <c r="AG99" s="139"/>
      <c r="AH99" s="138"/>
      <c r="AI99" s="138"/>
      <c r="AJ99" s="138"/>
      <c r="AK99" s="138"/>
      <c r="AL99" s="138"/>
    </row>
    <row r="100" spans="2:38" x14ac:dyDescent="0.25">
      <c r="B100" s="71"/>
      <c r="G100" s="79"/>
      <c r="H100" s="71"/>
      <c r="I100" s="79"/>
      <c r="J100" s="71"/>
      <c r="K100" s="79"/>
      <c r="L100" s="79"/>
      <c r="M100" s="79"/>
      <c r="N100" s="71"/>
      <c r="O100" s="79"/>
      <c r="P100" s="71"/>
      <c r="R100" s="71"/>
      <c r="S100" s="71"/>
      <c r="U100"/>
      <c r="V100" s="2" t="s">
        <v>108</v>
      </c>
      <c r="W100" s="180" t="s">
        <v>178</v>
      </c>
      <c r="X100" s="71" t="s">
        <v>107</v>
      </c>
      <c r="Y100" s="172" t="s">
        <v>164</v>
      </c>
      <c r="Z100" s="177" t="s">
        <v>256</v>
      </c>
      <c r="AA100" s="139"/>
      <c r="AB100" s="138"/>
      <c r="AC100" s="139"/>
      <c r="AD100" s="138"/>
      <c r="AE100" s="139"/>
      <c r="AF100" s="138"/>
      <c r="AG100" s="139"/>
      <c r="AH100" s="138"/>
      <c r="AI100" s="138"/>
      <c r="AJ100" s="138"/>
      <c r="AK100" s="138"/>
      <c r="AL100" s="138"/>
    </row>
    <row r="101" spans="2:38" x14ac:dyDescent="0.25">
      <c r="B101" s="71"/>
      <c r="G101" s="79"/>
      <c r="H101" s="71"/>
      <c r="I101" s="79"/>
      <c r="J101" s="71"/>
      <c r="K101" s="79"/>
      <c r="L101" s="79"/>
      <c r="M101" s="79"/>
      <c r="N101" s="71"/>
      <c r="O101" s="79"/>
      <c r="P101" s="71"/>
      <c r="R101" s="71"/>
      <c r="S101" s="71"/>
      <c r="T101" s="73"/>
      <c r="U101" s="80"/>
      <c r="V101" s="73"/>
      <c r="W101" s="175" t="s">
        <v>269</v>
      </c>
      <c r="X101" s="73" t="s">
        <v>108</v>
      </c>
      <c r="Y101" s="176" t="s">
        <v>160</v>
      </c>
      <c r="Z101" s="178" t="s">
        <v>254</v>
      </c>
      <c r="AA101" s="139"/>
      <c r="AB101" s="138"/>
      <c r="AC101" s="139"/>
      <c r="AD101" s="138"/>
      <c r="AE101" s="139"/>
      <c r="AF101" s="138"/>
      <c r="AG101" s="139"/>
      <c r="AH101" s="138"/>
      <c r="AI101" s="138"/>
      <c r="AJ101" s="138"/>
      <c r="AK101" s="138"/>
      <c r="AL101" s="138"/>
    </row>
    <row r="102" spans="2:38" x14ac:dyDescent="0.25">
      <c r="B102" s="71"/>
      <c r="G102" s="79"/>
      <c r="H102" s="71"/>
      <c r="I102" s="79"/>
      <c r="J102" s="71"/>
      <c r="K102" s="79"/>
      <c r="L102" s="79"/>
      <c r="M102" s="79"/>
      <c r="N102" s="71"/>
      <c r="O102" s="79"/>
      <c r="P102" s="71"/>
      <c r="S102" s="79"/>
      <c r="T102" s="71" t="s">
        <v>106</v>
      </c>
      <c r="U102" s="172" t="s">
        <v>171</v>
      </c>
      <c r="V102" s="177" t="s">
        <v>271</v>
      </c>
      <c r="W102" s="138"/>
      <c r="X102" s="138"/>
      <c r="Y102" s="139"/>
      <c r="Z102" s="138"/>
      <c r="AA102" s="139"/>
      <c r="AB102" s="138"/>
      <c r="AC102" s="139"/>
      <c r="AD102" s="138"/>
      <c r="AE102" s="139"/>
      <c r="AF102" s="138"/>
      <c r="AG102" s="139"/>
      <c r="AH102" s="138"/>
      <c r="AI102" s="138"/>
      <c r="AJ102" s="138"/>
      <c r="AK102" s="138"/>
      <c r="AL102" s="138"/>
    </row>
    <row r="103" spans="2:38" x14ac:dyDescent="0.25">
      <c r="B103" s="71"/>
      <c r="G103" s="79"/>
      <c r="H103" s="71"/>
      <c r="I103" s="79"/>
      <c r="J103" s="71"/>
      <c r="K103" s="79"/>
      <c r="L103" s="79"/>
      <c r="M103" s="79"/>
      <c r="N103" s="79"/>
      <c r="O103" s="79"/>
      <c r="P103" s="79" t="s">
        <v>108</v>
      </c>
      <c r="Q103" s="172" t="s">
        <v>187</v>
      </c>
      <c r="R103" s="71" t="s">
        <v>107</v>
      </c>
      <c r="S103" s="172" t="s">
        <v>202</v>
      </c>
      <c r="T103" s="71" t="s">
        <v>107</v>
      </c>
      <c r="U103" s="172" t="s">
        <v>167</v>
      </c>
      <c r="V103" s="177" t="s">
        <v>272</v>
      </c>
      <c r="W103" s="138"/>
      <c r="X103" s="138"/>
      <c r="Y103" s="139"/>
      <c r="Z103" s="138"/>
      <c r="AA103" s="139"/>
      <c r="AB103" s="138"/>
      <c r="AC103" s="139"/>
      <c r="AD103" s="138"/>
      <c r="AE103" s="139"/>
      <c r="AF103" s="138"/>
      <c r="AG103" s="139"/>
      <c r="AH103" s="138"/>
      <c r="AI103" s="138"/>
      <c r="AJ103" s="138"/>
      <c r="AK103" s="138"/>
      <c r="AL103" s="138"/>
    </row>
    <row r="104" spans="2:38" x14ac:dyDescent="0.25">
      <c r="B104" s="71"/>
      <c r="G104" s="79"/>
      <c r="H104" s="71"/>
      <c r="I104" s="79"/>
      <c r="J104" s="71"/>
      <c r="K104" s="79"/>
      <c r="L104" s="79"/>
      <c r="M104" s="79"/>
      <c r="N104" s="79"/>
      <c r="O104" s="79"/>
      <c r="P104" s="79"/>
      <c r="Q104" s="173">
        <v>25</v>
      </c>
      <c r="R104" s="73"/>
      <c r="S104" s="175" t="s">
        <v>286</v>
      </c>
      <c r="T104" s="73" t="s">
        <v>108</v>
      </c>
      <c r="U104" s="176" t="s">
        <v>166</v>
      </c>
      <c r="V104" s="178" t="s">
        <v>273</v>
      </c>
      <c r="W104" s="138"/>
      <c r="X104" s="138"/>
      <c r="Y104" s="139"/>
      <c r="Z104" s="138"/>
      <c r="AA104" s="139"/>
      <c r="AB104" s="138"/>
      <c r="AC104" s="139"/>
      <c r="AD104" s="138"/>
      <c r="AE104" s="139"/>
      <c r="AF104" s="138"/>
      <c r="AG104" s="139"/>
      <c r="AH104" s="138"/>
      <c r="AI104" s="138"/>
      <c r="AJ104" s="138"/>
      <c r="AK104" s="138"/>
      <c r="AL104" s="138"/>
    </row>
    <row r="105" spans="2:38" x14ac:dyDescent="0.25">
      <c r="B105" s="71"/>
      <c r="G105" s="79"/>
      <c r="H105" s="71"/>
      <c r="I105" s="79"/>
      <c r="J105" s="71"/>
      <c r="K105" s="79"/>
      <c r="L105" s="79"/>
      <c r="M105" s="79"/>
      <c r="N105" s="79"/>
      <c r="O105" s="79"/>
      <c r="P105" s="79"/>
      <c r="S105" s="79"/>
      <c r="T105" s="71" t="s">
        <v>106</v>
      </c>
      <c r="U105" s="172" t="s">
        <v>163</v>
      </c>
      <c r="V105" s="177" t="s">
        <v>280</v>
      </c>
      <c r="W105" s="138"/>
      <c r="X105" s="138"/>
      <c r="Y105" s="139"/>
      <c r="Z105" s="138"/>
      <c r="AA105" s="139"/>
      <c r="AB105" s="138"/>
      <c r="AC105" s="139"/>
      <c r="AD105" s="138"/>
      <c r="AE105" s="139"/>
      <c r="AF105" s="138"/>
      <c r="AG105" s="139"/>
      <c r="AH105" s="138"/>
      <c r="AI105" s="138"/>
      <c r="AJ105" s="138"/>
      <c r="AK105" s="138"/>
      <c r="AL105" s="138"/>
    </row>
    <row r="106" spans="2:38" x14ac:dyDescent="0.25">
      <c r="B106" s="71"/>
      <c r="G106" s="79"/>
      <c r="H106" s="71"/>
      <c r="I106" s="79"/>
      <c r="J106" s="71"/>
      <c r="K106" s="79"/>
      <c r="L106" s="79"/>
      <c r="M106" s="79"/>
      <c r="N106" s="79"/>
      <c r="O106" s="79"/>
      <c r="P106" s="79"/>
      <c r="R106" s="71" t="s">
        <v>108</v>
      </c>
      <c r="S106" s="172" t="s">
        <v>201</v>
      </c>
      <c r="T106" s="71" t="s">
        <v>107</v>
      </c>
      <c r="U106" s="172" t="s">
        <v>164</v>
      </c>
      <c r="V106" s="177" t="s">
        <v>256</v>
      </c>
      <c r="W106" s="138"/>
      <c r="X106" s="138"/>
      <c r="Y106" s="139"/>
      <c r="Z106" s="138"/>
      <c r="AA106" s="139"/>
      <c r="AB106" s="138"/>
      <c r="AC106" s="139"/>
      <c r="AD106" s="138"/>
      <c r="AE106" s="139"/>
      <c r="AF106" s="138"/>
      <c r="AG106" s="139"/>
      <c r="AH106" s="138"/>
      <c r="AI106" s="138"/>
      <c r="AJ106" s="138"/>
      <c r="AK106" s="138"/>
      <c r="AL106" s="138"/>
    </row>
    <row r="107" spans="2:38" x14ac:dyDescent="0.25">
      <c r="B107" s="71"/>
      <c r="G107" s="79"/>
      <c r="H107" s="71"/>
      <c r="I107" s="79"/>
      <c r="J107" s="71"/>
      <c r="K107" s="79"/>
      <c r="L107" s="79"/>
      <c r="M107" s="79"/>
      <c r="N107" s="73"/>
      <c r="O107" s="73"/>
      <c r="P107" s="73"/>
      <c r="Q107" s="80"/>
      <c r="R107" s="73"/>
      <c r="S107" s="175" t="s">
        <v>287</v>
      </c>
      <c r="T107" s="73" t="s">
        <v>108</v>
      </c>
      <c r="U107" s="176" t="s">
        <v>160</v>
      </c>
      <c r="V107" s="178" t="s">
        <v>254</v>
      </c>
      <c r="W107" s="138"/>
      <c r="X107" s="138"/>
      <c r="Y107" s="139"/>
      <c r="Z107" s="138"/>
      <c r="AA107" s="139"/>
      <c r="AB107" s="138"/>
      <c r="AC107" s="139"/>
      <c r="AD107" s="138"/>
      <c r="AE107" s="139"/>
      <c r="AF107" s="138"/>
      <c r="AG107" s="139"/>
      <c r="AH107" s="138"/>
      <c r="AI107" s="138"/>
      <c r="AJ107" s="138"/>
      <c r="AK107" s="138"/>
      <c r="AL107" s="138"/>
    </row>
    <row r="108" spans="2:38" x14ac:dyDescent="0.25">
      <c r="B108" s="71"/>
      <c r="G108" s="79"/>
      <c r="H108" s="71"/>
      <c r="I108" s="79"/>
      <c r="J108" s="71"/>
      <c r="K108" s="79"/>
      <c r="L108" s="79"/>
      <c r="M108" s="79"/>
      <c r="N108" s="71"/>
      <c r="O108" s="79"/>
      <c r="P108" s="71" t="s">
        <v>106</v>
      </c>
      <c r="Q108" s="135" t="s">
        <v>194</v>
      </c>
      <c r="R108" s="138"/>
      <c r="S108" s="139"/>
      <c r="T108" s="138"/>
      <c r="U108" s="139"/>
      <c r="V108" s="138"/>
      <c r="W108" s="138"/>
      <c r="X108" s="138"/>
      <c r="Y108" s="139"/>
      <c r="Z108" s="138"/>
      <c r="AA108" s="139"/>
      <c r="AB108" s="138"/>
      <c r="AC108" s="139"/>
      <c r="AD108" s="138"/>
      <c r="AE108" s="139"/>
      <c r="AF108" s="138"/>
      <c r="AG108" s="139"/>
      <c r="AH108" s="138"/>
      <c r="AI108" s="138"/>
      <c r="AJ108" s="138"/>
      <c r="AK108" s="138"/>
      <c r="AL108" s="138"/>
    </row>
    <row r="109" spans="2:38" x14ac:dyDescent="0.25">
      <c r="B109" s="71"/>
      <c r="G109" s="79"/>
      <c r="H109" s="71"/>
      <c r="I109" s="71"/>
      <c r="J109" s="79"/>
      <c r="K109" s="79"/>
      <c r="L109" s="71" t="s">
        <v>106</v>
      </c>
      <c r="M109" s="172" t="s">
        <v>171</v>
      </c>
      <c r="N109" s="71" t="s">
        <v>107</v>
      </c>
      <c r="O109" s="172" t="s">
        <v>181</v>
      </c>
      <c r="P109" s="73" t="s">
        <v>107</v>
      </c>
      <c r="Q109" s="137" t="s">
        <v>195</v>
      </c>
      <c r="R109" s="140"/>
      <c r="S109" s="141"/>
      <c r="T109" s="140"/>
      <c r="U109" s="141"/>
      <c r="V109" s="138"/>
      <c r="W109" s="138"/>
      <c r="X109" s="138"/>
      <c r="Y109" s="139"/>
      <c r="Z109" s="138"/>
      <c r="AA109" s="139"/>
      <c r="AB109" s="138"/>
      <c r="AC109" s="139"/>
      <c r="AD109" s="138"/>
      <c r="AE109" s="139"/>
      <c r="AF109" s="138"/>
      <c r="AG109" s="139"/>
      <c r="AH109" s="138"/>
      <c r="AI109" s="138"/>
      <c r="AJ109" s="138"/>
      <c r="AK109" s="138"/>
      <c r="AL109" s="138"/>
    </row>
    <row r="110" spans="2:38" x14ac:dyDescent="0.25">
      <c r="B110" s="71"/>
      <c r="G110" s="79"/>
      <c r="H110" s="71"/>
      <c r="I110" s="71"/>
      <c r="J110" s="79"/>
      <c r="K110" s="79"/>
      <c r="L110" s="71"/>
      <c r="M110" s="173">
        <v>7</v>
      </c>
      <c r="N110" s="71"/>
      <c r="O110" s="173" t="s">
        <v>276</v>
      </c>
      <c r="P110" s="71"/>
      <c r="Q110"/>
      <c r="S110" s="79"/>
      <c r="T110" s="71" t="s">
        <v>106</v>
      </c>
      <c r="U110" s="172" t="s">
        <v>189</v>
      </c>
      <c r="V110" s="177" t="s">
        <v>290</v>
      </c>
      <c r="W110" s="138"/>
      <c r="X110" s="138"/>
      <c r="Y110" s="139"/>
      <c r="Z110" s="138"/>
      <c r="AA110" s="139"/>
      <c r="AB110" s="138"/>
      <c r="AC110" s="139"/>
      <c r="AD110" s="138"/>
      <c r="AE110" s="139"/>
      <c r="AF110" s="138"/>
      <c r="AG110" s="139"/>
      <c r="AH110" s="138"/>
      <c r="AI110" s="138"/>
      <c r="AJ110" s="138"/>
      <c r="AK110" s="138"/>
      <c r="AL110" s="138"/>
    </row>
    <row r="111" spans="2:38" x14ac:dyDescent="0.25">
      <c r="B111" s="71"/>
      <c r="G111" s="79"/>
      <c r="H111" s="71"/>
      <c r="I111" s="71"/>
      <c r="J111" s="79"/>
      <c r="K111" s="79"/>
      <c r="L111" s="71"/>
      <c r="M111" s="79"/>
      <c r="N111" s="71"/>
      <c r="O111" s="79"/>
      <c r="P111" s="71"/>
      <c r="Q111"/>
      <c r="R111" s="71" t="s">
        <v>106</v>
      </c>
      <c r="S111" s="172" t="s">
        <v>199</v>
      </c>
      <c r="T111" s="71" t="s">
        <v>107</v>
      </c>
      <c r="U111" s="172" t="s">
        <v>200</v>
      </c>
      <c r="V111" s="177" t="s">
        <v>291</v>
      </c>
      <c r="W111" s="138"/>
      <c r="X111" s="138"/>
      <c r="Y111" s="139"/>
      <c r="Z111" s="138"/>
      <c r="AA111" s="139"/>
      <c r="AB111" s="138"/>
      <c r="AC111" s="139"/>
      <c r="AD111" s="138"/>
      <c r="AE111" s="139"/>
      <c r="AF111" s="138"/>
      <c r="AG111" s="139"/>
      <c r="AH111" s="138"/>
      <c r="AI111" s="138"/>
      <c r="AJ111" s="138"/>
      <c r="AK111" s="138"/>
      <c r="AL111" s="138"/>
    </row>
    <row r="112" spans="2:38" x14ac:dyDescent="0.25">
      <c r="B112" s="71"/>
      <c r="G112" s="79"/>
      <c r="H112" s="71"/>
      <c r="I112" s="71"/>
      <c r="J112" s="79"/>
      <c r="K112" s="79"/>
      <c r="L112" s="71"/>
      <c r="M112" s="79"/>
      <c r="N112" s="71"/>
      <c r="O112" s="79"/>
      <c r="P112" s="71"/>
      <c r="Q112"/>
      <c r="R112" s="73"/>
      <c r="S112" s="175" t="s">
        <v>288</v>
      </c>
      <c r="T112" s="73" t="s">
        <v>108</v>
      </c>
      <c r="U112" s="176" t="s">
        <v>191</v>
      </c>
      <c r="V112" s="178" t="s">
        <v>292</v>
      </c>
      <c r="W112" s="138"/>
      <c r="X112" s="138"/>
      <c r="Y112" s="139"/>
      <c r="Z112" s="138"/>
      <c r="AA112" s="139"/>
      <c r="AB112" s="138"/>
      <c r="AC112" s="139"/>
      <c r="AD112" s="138"/>
      <c r="AE112" s="139"/>
      <c r="AF112" s="138"/>
      <c r="AG112" s="139"/>
      <c r="AH112" s="138"/>
      <c r="AI112" s="138"/>
      <c r="AJ112" s="138"/>
      <c r="AK112" s="138"/>
      <c r="AL112" s="138"/>
    </row>
    <row r="113" spans="2:38" x14ac:dyDescent="0.25">
      <c r="B113" s="71"/>
      <c r="G113" s="79"/>
      <c r="H113" s="71"/>
      <c r="I113" s="71"/>
      <c r="J113" s="79"/>
      <c r="K113" s="79"/>
      <c r="L113" s="71"/>
      <c r="M113" s="79"/>
      <c r="N113" s="71"/>
      <c r="O113" s="79"/>
      <c r="P113" s="71"/>
      <c r="Q113"/>
      <c r="R113" s="71"/>
      <c r="S113" s="79"/>
      <c r="T113" s="71" t="s">
        <v>106</v>
      </c>
      <c r="U113" s="172" t="s">
        <v>190</v>
      </c>
      <c r="V113" s="177" t="s">
        <v>293</v>
      </c>
      <c r="W113" s="138"/>
      <c r="X113" s="138"/>
      <c r="Y113" s="139"/>
      <c r="Z113" s="138"/>
      <c r="AA113" s="139"/>
      <c r="AB113" s="138"/>
      <c r="AC113" s="139"/>
      <c r="AD113" s="138"/>
      <c r="AE113" s="139"/>
      <c r="AF113" s="138"/>
      <c r="AG113" s="139"/>
      <c r="AH113" s="138"/>
      <c r="AI113" s="138"/>
      <c r="AJ113" s="138"/>
      <c r="AK113" s="138"/>
      <c r="AL113" s="138"/>
    </row>
    <row r="114" spans="2:38" x14ac:dyDescent="0.25">
      <c r="B114" s="71"/>
      <c r="G114" s="79"/>
      <c r="H114" s="71"/>
      <c r="I114" s="71"/>
      <c r="J114" s="79"/>
      <c r="K114" s="79"/>
      <c r="L114" s="71"/>
      <c r="M114" s="79"/>
      <c r="N114" s="79"/>
      <c r="O114" s="79"/>
      <c r="P114" s="79" t="s">
        <v>108</v>
      </c>
      <c r="Q114" s="172" t="s">
        <v>188</v>
      </c>
      <c r="R114" s="71" t="s">
        <v>107</v>
      </c>
      <c r="S114" s="172" t="s">
        <v>198</v>
      </c>
      <c r="T114" s="71" t="s">
        <v>107</v>
      </c>
      <c r="U114" s="172" t="s">
        <v>193</v>
      </c>
      <c r="V114" s="177" t="s">
        <v>294</v>
      </c>
      <c r="W114" s="138"/>
      <c r="X114" s="138"/>
      <c r="Y114" s="139"/>
      <c r="Z114" s="138"/>
      <c r="AA114" s="139"/>
      <c r="AB114" s="138"/>
      <c r="AC114" s="139"/>
      <c r="AD114" s="138"/>
      <c r="AE114" s="139"/>
      <c r="AF114" s="138"/>
      <c r="AG114" s="139"/>
      <c r="AH114" s="138"/>
      <c r="AI114" s="138"/>
      <c r="AJ114" s="138"/>
      <c r="AK114" s="138"/>
      <c r="AL114" s="138"/>
    </row>
    <row r="115" spans="2:38" x14ac:dyDescent="0.25">
      <c r="B115" s="71"/>
      <c r="G115" s="79"/>
      <c r="H115" s="71"/>
      <c r="I115" s="71"/>
      <c r="J115" s="79"/>
      <c r="K115" s="79"/>
      <c r="L115" s="71"/>
      <c r="M115" s="79"/>
      <c r="N115" s="79"/>
      <c r="O115" s="79"/>
      <c r="P115" s="79"/>
      <c r="Q115" s="175" t="s">
        <v>284</v>
      </c>
      <c r="R115" s="73"/>
      <c r="S115" s="175" t="s">
        <v>289</v>
      </c>
      <c r="T115" s="73" t="s">
        <v>108</v>
      </c>
      <c r="U115" s="176" t="s">
        <v>192</v>
      </c>
      <c r="V115" s="178" t="s">
        <v>295</v>
      </c>
      <c r="W115" s="138"/>
      <c r="X115" s="138"/>
      <c r="Y115" s="139"/>
      <c r="Z115" s="138"/>
      <c r="AA115" s="139"/>
      <c r="AB115" s="138"/>
      <c r="AC115" s="139"/>
      <c r="AD115" s="138"/>
      <c r="AE115" s="139"/>
      <c r="AF115" s="138"/>
      <c r="AG115" s="139"/>
      <c r="AH115" s="138"/>
      <c r="AI115" s="138"/>
      <c r="AJ115" s="138"/>
      <c r="AK115" s="138"/>
      <c r="AL115" s="138"/>
    </row>
    <row r="116" spans="2:38" x14ac:dyDescent="0.25">
      <c r="B116" s="71"/>
      <c r="G116" s="79"/>
      <c r="H116" s="71"/>
      <c r="I116" s="71"/>
      <c r="J116" s="79"/>
      <c r="K116" s="79"/>
      <c r="L116" s="71"/>
      <c r="M116" s="79"/>
      <c r="N116" s="73"/>
      <c r="O116" s="73"/>
      <c r="P116" s="73"/>
      <c r="Q116" s="73"/>
      <c r="R116" s="73" t="s">
        <v>108</v>
      </c>
      <c r="S116" s="176" t="s">
        <v>180</v>
      </c>
      <c r="T116" s="177" t="s">
        <v>268</v>
      </c>
      <c r="U116" s="139"/>
      <c r="V116" s="138"/>
      <c r="W116" s="138"/>
      <c r="X116" s="138"/>
      <c r="Y116" s="139"/>
      <c r="Z116" s="138"/>
      <c r="AA116" s="139"/>
      <c r="AB116" s="138"/>
      <c r="AC116" s="139"/>
      <c r="AD116" s="138"/>
      <c r="AE116" s="139"/>
      <c r="AF116" s="138"/>
      <c r="AG116" s="139"/>
      <c r="AH116" s="138"/>
      <c r="AI116" s="138"/>
      <c r="AJ116" s="138"/>
      <c r="AK116" s="138"/>
      <c r="AL116" s="138"/>
    </row>
    <row r="117" spans="2:38" x14ac:dyDescent="0.25">
      <c r="B117" s="71"/>
      <c r="G117" s="79"/>
      <c r="H117" s="71"/>
      <c r="I117" s="71"/>
      <c r="J117" s="79"/>
      <c r="K117" s="79"/>
      <c r="L117"/>
      <c r="M117"/>
      <c r="N117" s="72" t="s">
        <v>108</v>
      </c>
      <c r="O117" s="176" t="s">
        <v>170</v>
      </c>
      <c r="P117" s="179" t="s">
        <v>277</v>
      </c>
      <c r="Q117" s="141"/>
      <c r="R117" s="140"/>
      <c r="S117" s="141"/>
      <c r="T117" s="140"/>
      <c r="U117" s="141"/>
      <c r="V117" s="138"/>
      <c r="W117" s="138"/>
      <c r="X117" s="138"/>
      <c r="Y117" s="139"/>
      <c r="Z117" s="138"/>
      <c r="AA117" s="139"/>
      <c r="AB117" s="138"/>
      <c r="AC117" s="139"/>
      <c r="AD117" s="138"/>
      <c r="AE117" s="139"/>
      <c r="AF117" s="138"/>
      <c r="AG117" s="139"/>
      <c r="AH117" s="138"/>
      <c r="AI117" s="138"/>
      <c r="AJ117" s="138"/>
      <c r="AK117" s="138"/>
      <c r="AL117" s="138"/>
    </row>
    <row r="118" spans="2:38" x14ac:dyDescent="0.25">
      <c r="B118" s="71"/>
      <c r="G118" s="79"/>
      <c r="H118" s="71"/>
      <c r="I118" s="71"/>
      <c r="J118" s="79"/>
      <c r="K118" s="79"/>
      <c r="L118" s="71"/>
      <c r="M118" s="79"/>
      <c r="N118" s="71" t="s">
        <v>106</v>
      </c>
      <c r="O118" s="172" t="s">
        <v>184</v>
      </c>
      <c r="P118" s="177" t="s">
        <v>278</v>
      </c>
      <c r="Q118" s="139"/>
      <c r="R118" s="138"/>
      <c r="S118" s="139"/>
      <c r="T118" s="138"/>
      <c r="U118" s="139"/>
      <c r="V118" s="138"/>
      <c r="W118" s="138"/>
      <c r="X118" s="138"/>
      <c r="Y118" s="139"/>
      <c r="Z118" s="138"/>
      <c r="AA118" s="139"/>
      <c r="AB118" s="138"/>
      <c r="AC118" s="139"/>
      <c r="AD118" s="138"/>
      <c r="AE118" s="139"/>
      <c r="AF118" s="138"/>
      <c r="AG118" s="139"/>
      <c r="AH118" s="138"/>
      <c r="AI118" s="138"/>
      <c r="AJ118" s="138"/>
      <c r="AK118" s="138"/>
      <c r="AL118" s="138"/>
    </row>
    <row r="119" spans="2:38" x14ac:dyDescent="0.25">
      <c r="B119" s="71"/>
      <c r="G119" s="79"/>
      <c r="H119" s="71"/>
      <c r="I119" s="71"/>
      <c r="J119" s="79" t="s">
        <v>106</v>
      </c>
      <c r="K119" s="172" t="s">
        <v>179</v>
      </c>
      <c r="L119" s="71" t="s">
        <v>107</v>
      </c>
      <c r="M119" s="172" t="s">
        <v>167</v>
      </c>
      <c r="N119" s="71" t="s">
        <v>107</v>
      </c>
      <c r="O119" s="172" t="s">
        <v>183</v>
      </c>
      <c r="P119" s="177" t="s">
        <v>279</v>
      </c>
      <c r="Q119" s="139"/>
      <c r="R119" s="138"/>
      <c r="S119" s="139"/>
      <c r="T119" s="138"/>
      <c r="U119" s="139"/>
      <c r="V119" s="138"/>
      <c r="W119" s="138"/>
      <c r="X119" s="138"/>
      <c r="Y119" s="139"/>
      <c r="Z119" s="138"/>
      <c r="AA119" s="139"/>
      <c r="AB119" s="138"/>
      <c r="AC119" s="139"/>
      <c r="AD119" s="138"/>
      <c r="AE119" s="139"/>
      <c r="AF119" s="138"/>
      <c r="AG119" s="139"/>
      <c r="AH119" s="138"/>
      <c r="AI119" s="138"/>
      <c r="AJ119" s="138"/>
      <c r="AK119" s="138"/>
      <c r="AL119" s="138"/>
    </row>
    <row r="120" spans="2:38" x14ac:dyDescent="0.25">
      <c r="B120" s="71"/>
      <c r="G120" s="79"/>
      <c r="H120" s="71"/>
      <c r="I120" s="71"/>
      <c r="J120" s="79"/>
      <c r="K120" s="175" t="s">
        <v>270</v>
      </c>
      <c r="L120" s="73"/>
      <c r="M120" s="175" t="s">
        <v>272</v>
      </c>
      <c r="N120" s="73" t="s">
        <v>108</v>
      </c>
      <c r="O120" s="176" t="s">
        <v>171</v>
      </c>
      <c r="P120" s="178" t="s">
        <v>271</v>
      </c>
      <c r="Q120" s="139"/>
      <c r="R120" s="138"/>
      <c r="S120" s="139"/>
      <c r="T120" s="138"/>
      <c r="U120" s="139"/>
      <c r="V120" s="138"/>
      <c r="W120" s="138"/>
      <c r="X120" s="138"/>
      <c r="Y120" s="139"/>
      <c r="Z120" s="138"/>
      <c r="AA120" s="139"/>
      <c r="AB120" s="138"/>
      <c r="AC120" s="139"/>
      <c r="AD120" s="138"/>
      <c r="AE120" s="139"/>
      <c r="AF120" s="138"/>
      <c r="AG120" s="139"/>
      <c r="AH120" s="138"/>
      <c r="AI120" s="138"/>
      <c r="AJ120" s="138"/>
      <c r="AK120" s="138"/>
      <c r="AL120" s="138"/>
    </row>
    <row r="121" spans="2:38" x14ac:dyDescent="0.25">
      <c r="B121" s="71"/>
      <c r="G121" s="79"/>
      <c r="H121" s="71"/>
      <c r="I121" s="71"/>
      <c r="J121" s="79"/>
      <c r="K121" s="79"/>
      <c r="L121" s="71"/>
      <c r="M121" s="79"/>
      <c r="N121" s="71" t="s">
        <v>106</v>
      </c>
      <c r="O121" s="172" t="s">
        <v>186</v>
      </c>
      <c r="P121" s="177" t="s">
        <v>281</v>
      </c>
      <c r="Q121" s="139"/>
      <c r="R121" s="138"/>
      <c r="S121" s="139"/>
      <c r="T121" s="138"/>
      <c r="U121" s="139"/>
      <c r="V121" s="138"/>
      <c r="W121" s="138"/>
      <c r="X121" s="138"/>
      <c r="Y121" s="139"/>
      <c r="Z121" s="138"/>
      <c r="AA121" s="139"/>
      <c r="AB121" s="138"/>
      <c r="AC121" s="139"/>
      <c r="AD121" s="138"/>
      <c r="AE121" s="139"/>
      <c r="AF121" s="138"/>
      <c r="AG121" s="139"/>
      <c r="AH121" s="138"/>
      <c r="AI121" s="138"/>
      <c r="AJ121" s="138"/>
      <c r="AK121" s="138"/>
      <c r="AL121" s="138"/>
    </row>
    <row r="122" spans="2:38" x14ac:dyDescent="0.25">
      <c r="B122" s="71"/>
      <c r="G122" s="79"/>
      <c r="H122" s="71"/>
      <c r="I122"/>
      <c r="K122"/>
      <c r="L122" t="s">
        <v>108</v>
      </c>
      <c r="M122" s="180" t="s">
        <v>166</v>
      </c>
      <c r="N122" s="71" t="s">
        <v>107</v>
      </c>
      <c r="O122" s="172" t="s">
        <v>185</v>
      </c>
      <c r="P122" s="177" t="s">
        <v>282</v>
      </c>
      <c r="Q122" s="139"/>
      <c r="R122" s="138"/>
      <c r="S122" s="139"/>
      <c r="T122" s="138"/>
      <c r="U122" s="139"/>
      <c r="V122" s="138"/>
      <c r="W122" s="138"/>
      <c r="X122" s="138"/>
      <c r="Y122" s="139"/>
      <c r="Z122" s="138"/>
      <c r="AA122" s="139"/>
      <c r="AB122" s="138"/>
      <c r="AC122" s="139"/>
      <c r="AD122" s="138"/>
      <c r="AE122" s="139"/>
      <c r="AF122" s="138"/>
      <c r="AG122" s="139"/>
      <c r="AH122" s="138"/>
      <c r="AI122" s="138"/>
      <c r="AJ122" s="138"/>
      <c r="AK122" s="138"/>
      <c r="AL122" s="138"/>
    </row>
    <row r="123" spans="2:38" x14ac:dyDescent="0.25">
      <c r="B123" s="71"/>
      <c r="G123" s="79"/>
      <c r="H123" s="71"/>
      <c r="I123" s="73"/>
      <c r="J123" s="73"/>
      <c r="K123" s="73"/>
      <c r="L123" s="73"/>
      <c r="M123" s="175" t="s">
        <v>273</v>
      </c>
      <c r="N123" s="73" t="s">
        <v>108</v>
      </c>
      <c r="O123" s="176" t="s">
        <v>163</v>
      </c>
      <c r="P123" s="178" t="s">
        <v>280</v>
      </c>
      <c r="Q123" s="139"/>
      <c r="R123" s="138"/>
      <c r="S123" s="139"/>
      <c r="T123" s="138"/>
      <c r="U123" s="139"/>
      <c r="V123" s="138"/>
      <c r="W123" s="138"/>
      <c r="X123" s="138"/>
      <c r="Y123" s="139"/>
      <c r="Z123" s="138"/>
      <c r="AA123" s="139"/>
      <c r="AB123" s="138"/>
      <c r="AC123" s="139"/>
      <c r="AD123" s="138"/>
      <c r="AE123" s="139"/>
      <c r="AF123" s="138"/>
      <c r="AG123" s="139"/>
      <c r="AH123" s="138"/>
      <c r="AI123" s="138"/>
      <c r="AJ123" s="138"/>
      <c r="AK123" s="138"/>
      <c r="AL123" s="138"/>
    </row>
    <row r="124" spans="2:38" x14ac:dyDescent="0.25">
      <c r="B124" s="71"/>
      <c r="G124" s="79"/>
      <c r="H124" s="71"/>
      <c r="I124" s="71"/>
      <c r="J124" s="79"/>
      <c r="K124" s="79"/>
      <c r="L124" s="71" t="s">
        <v>106</v>
      </c>
      <c r="M124" s="172" t="s">
        <v>170</v>
      </c>
      <c r="N124" s="177" t="s">
        <v>277</v>
      </c>
      <c r="O124" s="139"/>
      <c r="P124" s="138"/>
      <c r="Q124" s="139"/>
      <c r="R124" s="138"/>
      <c r="S124" s="139"/>
      <c r="T124" s="138"/>
      <c r="U124" s="139"/>
      <c r="V124" s="138"/>
      <c r="W124" s="138"/>
      <c r="X124" s="138"/>
      <c r="Y124" s="139"/>
      <c r="Z124" s="138"/>
      <c r="AA124" s="139"/>
      <c r="AB124" s="138"/>
      <c r="AC124" s="139"/>
      <c r="AD124" s="138"/>
      <c r="AE124" s="139"/>
      <c r="AF124" s="138"/>
      <c r="AG124" s="139"/>
      <c r="AH124" s="138"/>
      <c r="AI124" s="138"/>
      <c r="AJ124" s="138"/>
      <c r="AK124" s="138"/>
      <c r="AL124" s="138"/>
    </row>
    <row r="125" spans="2:38" x14ac:dyDescent="0.25">
      <c r="B125" s="71"/>
      <c r="G125" s="79"/>
      <c r="H125" s="71" t="s">
        <v>108</v>
      </c>
      <c r="I125" s="172" t="s">
        <v>172</v>
      </c>
      <c r="J125" s="79" t="s">
        <v>107</v>
      </c>
      <c r="K125" s="172" t="s">
        <v>180</v>
      </c>
      <c r="L125" s="71" t="s">
        <v>107</v>
      </c>
      <c r="M125" s="172" t="s">
        <v>169</v>
      </c>
      <c r="N125" s="177" t="s">
        <v>274</v>
      </c>
      <c r="O125" s="139"/>
      <c r="P125" s="138"/>
      <c r="Q125" s="139"/>
      <c r="R125" s="138"/>
      <c r="S125" s="143"/>
      <c r="T125" s="138"/>
      <c r="U125" s="139"/>
      <c r="V125" s="138"/>
      <c r="W125" s="138"/>
      <c r="X125" s="138"/>
      <c r="Y125" s="139"/>
      <c r="Z125" s="138"/>
      <c r="AA125" s="139"/>
      <c r="AB125" s="138"/>
      <c r="AC125" s="139"/>
      <c r="AD125" s="138"/>
      <c r="AE125" s="139"/>
      <c r="AF125" s="138"/>
      <c r="AG125" s="139"/>
      <c r="AH125" s="138"/>
      <c r="AI125" s="138"/>
      <c r="AJ125" s="138"/>
      <c r="AK125" s="138"/>
      <c r="AL125" s="138"/>
    </row>
    <row r="126" spans="2:38" x14ac:dyDescent="0.25">
      <c r="B126" s="71"/>
      <c r="G126" s="79"/>
      <c r="H126" s="71"/>
      <c r="I126" s="175" t="s">
        <v>264</v>
      </c>
      <c r="J126" s="73"/>
      <c r="K126" s="175" t="s">
        <v>268</v>
      </c>
      <c r="L126" s="73" t="s">
        <v>108</v>
      </c>
      <c r="M126" s="176" t="s">
        <v>168</v>
      </c>
      <c r="N126" s="178" t="s">
        <v>280</v>
      </c>
      <c r="O126" s="141"/>
      <c r="P126" s="138"/>
      <c r="Q126" s="139"/>
      <c r="R126" s="138"/>
      <c r="S126" s="143"/>
      <c r="T126" s="138"/>
      <c r="U126" s="139"/>
      <c r="V126" s="138"/>
      <c r="W126" s="138"/>
      <c r="X126" s="138"/>
      <c r="Y126" s="139"/>
      <c r="Z126" s="138"/>
      <c r="AA126" s="139"/>
      <c r="AB126" s="138"/>
      <c r="AC126" s="139"/>
      <c r="AD126" s="138"/>
      <c r="AE126" s="139"/>
      <c r="AF126" s="138"/>
      <c r="AG126" s="139"/>
      <c r="AH126" s="138"/>
      <c r="AI126" s="138"/>
      <c r="AJ126" s="138"/>
      <c r="AK126" s="138"/>
      <c r="AL126" s="138"/>
    </row>
    <row r="127" spans="2:38" x14ac:dyDescent="0.25">
      <c r="B127" s="71"/>
      <c r="G127" s="79"/>
      <c r="H127" s="71"/>
      <c r="I127" s="71"/>
      <c r="J127" s="79"/>
      <c r="K127" s="79"/>
      <c r="L127" s="71" t="s">
        <v>106</v>
      </c>
      <c r="M127" s="172" t="s">
        <v>163</v>
      </c>
      <c r="N127" s="177" t="s">
        <v>280</v>
      </c>
      <c r="O127" s="143"/>
      <c r="P127" s="138"/>
      <c r="Q127" s="139"/>
      <c r="R127" s="138"/>
      <c r="S127" s="143"/>
      <c r="T127" s="138"/>
      <c r="U127" s="139"/>
      <c r="V127" s="138"/>
      <c r="W127" s="138"/>
      <c r="X127" s="138"/>
      <c r="Y127" s="139"/>
      <c r="Z127" s="138"/>
      <c r="AA127" s="139"/>
      <c r="AB127" s="138"/>
      <c r="AC127" s="139"/>
      <c r="AD127" s="138"/>
      <c r="AE127" s="139"/>
      <c r="AF127" s="138"/>
      <c r="AG127" s="139"/>
      <c r="AH127" s="138"/>
      <c r="AI127" s="138"/>
      <c r="AJ127" s="138"/>
      <c r="AK127" s="138"/>
      <c r="AL127" s="138"/>
    </row>
    <row r="128" spans="2:38" x14ac:dyDescent="0.25">
      <c r="B128" s="71"/>
      <c r="G128" s="71"/>
      <c r="H128" s="71"/>
      <c r="I128" s="71"/>
      <c r="J128" s="79" t="s">
        <v>108</v>
      </c>
      <c r="K128" s="172" t="s">
        <v>178</v>
      </c>
      <c r="L128" s="71" t="s">
        <v>107</v>
      </c>
      <c r="M128" s="172" t="s">
        <v>164</v>
      </c>
      <c r="N128" s="177" t="s">
        <v>256</v>
      </c>
      <c r="O128" s="143"/>
      <c r="P128" s="138"/>
      <c r="Q128" s="139"/>
      <c r="R128" s="138"/>
      <c r="S128" s="143"/>
      <c r="T128" s="138"/>
      <c r="U128" s="139"/>
      <c r="V128" s="138"/>
      <c r="W128" s="138"/>
      <c r="X128" s="138"/>
      <c r="Y128" s="139"/>
      <c r="Z128" s="138"/>
      <c r="AA128" s="139"/>
      <c r="AB128" s="138"/>
      <c r="AC128" s="139"/>
      <c r="AD128" s="138"/>
      <c r="AE128" s="139"/>
      <c r="AF128" s="138"/>
      <c r="AG128" s="139"/>
      <c r="AH128" s="138"/>
      <c r="AI128" s="138"/>
      <c r="AJ128" s="138"/>
      <c r="AK128" s="138"/>
      <c r="AL128" s="138"/>
    </row>
    <row r="129" spans="2:38" x14ac:dyDescent="0.25">
      <c r="B129" s="71"/>
      <c r="G129" s="71"/>
      <c r="H129" s="73"/>
      <c r="I129" s="73"/>
      <c r="J129" s="80"/>
      <c r="K129" s="175" t="s">
        <v>269</v>
      </c>
      <c r="L129" s="73" t="s">
        <v>108</v>
      </c>
      <c r="M129" s="176" t="s">
        <v>160</v>
      </c>
      <c r="N129" s="178" t="s">
        <v>254</v>
      </c>
      <c r="O129" s="143"/>
      <c r="P129" s="138"/>
      <c r="Q129" s="139"/>
      <c r="R129" s="138"/>
      <c r="S129" s="143"/>
      <c r="T129" s="138"/>
      <c r="U129" s="139"/>
      <c r="V129" s="138"/>
      <c r="W129" s="138"/>
      <c r="X129" s="138"/>
      <c r="Y129" s="139"/>
      <c r="Z129" s="138"/>
      <c r="AA129" s="139"/>
      <c r="AB129" s="138"/>
      <c r="AC129" s="139"/>
      <c r="AD129" s="138"/>
      <c r="AE129" s="139"/>
      <c r="AF129" s="138"/>
      <c r="AG129" s="139"/>
      <c r="AH129" s="138"/>
      <c r="AI129" s="138"/>
      <c r="AJ129" s="138"/>
      <c r="AK129" s="138"/>
      <c r="AL129" s="138"/>
    </row>
    <row r="130" spans="2:38" x14ac:dyDescent="0.25">
      <c r="B130" s="71"/>
      <c r="G130" s="71"/>
      <c r="H130" s="71"/>
      <c r="I130" s="79"/>
      <c r="J130" s="71" t="s">
        <v>106</v>
      </c>
      <c r="K130" s="172" t="s">
        <v>182</v>
      </c>
      <c r="L130" s="177" t="s">
        <v>283</v>
      </c>
      <c r="M130" s="139"/>
      <c r="N130" s="139"/>
      <c r="O130" s="143"/>
      <c r="P130" s="138"/>
      <c r="Q130" s="139"/>
      <c r="R130" s="138"/>
      <c r="S130" s="143"/>
      <c r="T130" s="138"/>
      <c r="U130" s="139"/>
      <c r="V130" s="138"/>
      <c r="W130" s="138"/>
      <c r="X130" s="138"/>
      <c r="Y130" s="139"/>
      <c r="Z130" s="138"/>
      <c r="AA130" s="139"/>
      <c r="AB130" s="138"/>
      <c r="AC130" s="139"/>
      <c r="AD130" s="138"/>
      <c r="AE130" s="139"/>
      <c r="AF130" s="138"/>
      <c r="AG130" s="139"/>
      <c r="AH130" s="138"/>
      <c r="AI130" s="138"/>
      <c r="AJ130" s="138"/>
      <c r="AK130" s="138"/>
      <c r="AL130" s="138"/>
    </row>
    <row r="131" spans="2:38" x14ac:dyDescent="0.25">
      <c r="E131"/>
      <c r="F131" s="71"/>
      <c r="G131" s="79"/>
      <c r="H131" s="71" t="s">
        <v>106</v>
      </c>
      <c r="I131" s="172" t="s">
        <v>177</v>
      </c>
      <c r="J131" s="71" t="s">
        <v>107</v>
      </c>
      <c r="K131" s="172" t="s">
        <v>181</v>
      </c>
      <c r="L131" s="177" t="s">
        <v>284</v>
      </c>
      <c r="M131" s="139"/>
      <c r="N131" s="143"/>
      <c r="O131" s="143"/>
      <c r="P131" s="138"/>
      <c r="Q131" s="139"/>
      <c r="R131" s="138"/>
      <c r="S131" s="143"/>
      <c r="T131" s="138"/>
      <c r="U131" s="139"/>
      <c r="V131" s="138"/>
      <c r="W131" s="138"/>
      <c r="X131" s="138"/>
      <c r="Y131" s="139"/>
      <c r="Z131" s="138"/>
      <c r="AA131" s="139"/>
      <c r="AB131" s="138"/>
      <c r="AC131" s="139"/>
      <c r="AD131" s="138"/>
      <c r="AE131" s="139"/>
      <c r="AF131" s="138"/>
      <c r="AG131" s="139"/>
      <c r="AH131" s="138"/>
      <c r="AI131" s="138"/>
      <c r="AJ131" s="138"/>
      <c r="AK131" s="138"/>
      <c r="AL131" s="138"/>
    </row>
    <row r="132" spans="2:38" x14ac:dyDescent="0.25">
      <c r="E132"/>
      <c r="F132" s="71"/>
      <c r="G132" s="79"/>
      <c r="H132" s="73"/>
      <c r="I132" s="175" t="s">
        <v>263</v>
      </c>
      <c r="J132" s="73" t="s">
        <v>108</v>
      </c>
      <c r="K132" s="176" t="s">
        <v>170</v>
      </c>
      <c r="L132" s="178" t="s">
        <v>277</v>
      </c>
      <c r="M132" s="141"/>
      <c r="N132" s="142"/>
      <c r="O132" s="143"/>
      <c r="P132" s="138"/>
      <c r="Q132" s="139"/>
      <c r="R132" s="138"/>
      <c r="S132" s="143"/>
      <c r="T132" s="138"/>
      <c r="U132" s="139"/>
      <c r="V132" s="138"/>
      <c r="W132" s="138"/>
      <c r="X132" s="138"/>
      <c r="Y132" s="139"/>
      <c r="Z132" s="138"/>
      <c r="AA132" s="139"/>
      <c r="AB132" s="138"/>
      <c r="AC132" s="139"/>
      <c r="AD132" s="138"/>
      <c r="AE132" s="139"/>
      <c r="AF132" s="138"/>
      <c r="AG132" s="139"/>
      <c r="AH132" s="138"/>
      <c r="AI132" s="138"/>
      <c r="AJ132" s="138"/>
      <c r="AK132" s="138"/>
      <c r="AL132" s="138"/>
    </row>
    <row r="133" spans="2:38" x14ac:dyDescent="0.25">
      <c r="E133"/>
      <c r="F133" s="71"/>
      <c r="G133" s="79"/>
      <c r="H133" s="71"/>
      <c r="I133" s="79"/>
      <c r="J133" s="71" t="s">
        <v>106</v>
      </c>
      <c r="K133" s="172" t="s">
        <v>184</v>
      </c>
      <c r="L133" s="177" t="s">
        <v>278</v>
      </c>
      <c r="M133" s="139"/>
      <c r="N133" s="143"/>
      <c r="O133" s="143"/>
      <c r="P133" s="138"/>
      <c r="Q133" s="139"/>
      <c r="R133" s="138"/>
      <c r="S133" s="143"/>
      <c r="T133" s="138"/>
      <c r="U133" s="139"/>
      <c r="V133" s="138"/>
      <c r="W133" s="138"/>
      <c r="X133" s="138"/>
      <c r="Y133" s="139"/>
      <c r="Z133" s="138"/>
      <c r="AA133" s="139"/>
      <c r="AB133" s="138"/>
      <c r="AC133" s="139"/>
      <c r="AD133" s="138"/>
      <c r="AE133" s="139"/>
      <c r="AF133" s="138"/>
      <c r="AG133" s="139"/>
      <c r="AH133" s="138"/>
      <c r="AI133" s="138"/>
      <c r="AJ133" s="138"/>
      <c r="AK133" s="138"/>
      <c r="AL133" s="138"/>
    </row>
    <row r="134" spans="2:38" x14ac:dyDescent="0.25">
      <c r="D134" t="s">
        <v>106</v>
      </c>
      <c r="E134" s="172" t="s">
        <v>170</v>
      </c>
      <c r="F134" s="71" t="s">
        <v>107</v>
      </c>
      <c r="G134" s="172" t="s">
        <v>173</v>
      </c>
      <c r="H134" s="71" t="s">
        <v>107</v>
      </c>
      <c r="I134" s="172" t="s">
        <v>176</v>
      </c>
      <c r="J134" s="71" t="s">
        <v>107</v>
      </c>
      <c r="K134" s="172" t="s">
        <v>183</v>
      </c>
      <c r="L134" s="177" t="s">
        <v>279</v>
      </c>
      <c r="M134" s="139"/>
      <c r="N134" s="143"/>
      <c r="O134" s="143"/>
      <c r="P134" s="138"/>
      <c r="Q134" s="139"/>
      <c r="R134" s="138"/>
      <c r="S134" s="143"/>
      <c r="T134" s="138"/>
      <c r="U134" s="139"/>
      <c r="V134" s="138"/>
      <c r="W134" s="138"/>
      <c r="X134" s="138"/>
      <c r="Y134" s="139"/>
      <c r="Z134" s="138"/>
      <c r="AA134" s="139"/>
      <c r="AB134" s="138"/>
      <c r="AC134" s="139"/>
      <c r="AD134" s="138"/>
      <c r="AE134" s="139"/>
      <c r="AF134" s="138"/>
      <c r="AG134" s="139"/>
      <c r="AH134" s="138"/>
      <c r="AI134" s="138"/>
      <c r="AJ134" s="138"/>
      <c r="AK134" s="138"/>
      <c r="AL134" s="138"/>
    </row>
    <row r="135" spans="2:38" x14ac:dyDescent="0.25">
      <c r="E135" s="173" t="s">
        <v>260</v>
      </c>
      <c r="F135" s="71"/>
      <c r="G135" s="175" t="s">
        <v>265</v>
      </c>
      <c r="H135" s="73"/>
      <c r="I135" s="175" t="s">
        <v>262</v>
      </c>
      <c r="J135" s="73" t="s">
        <v>108</v>
      </c>
      <c r="K135" s="176" t="s">
        <v>171</v>
      </c>
      <c r="L135" s="178" t="s">
        <v>271</v>
      </c>
      <c r="M135" s="141"/>
      <c r="N135" s="142"/>
      <c r="O135" s="143"/>
      <c r="P135" s="138"/>
      <c r="Q135" s="139"/>
      <c r="R135" s="138"/>
      <c r="S135" s="143"/>
      <c r="T135" s="138"/>
      <c r="U135" s="139"/>
      <c r="V135" s="138"/>
      <c r="W135" s="138"/>
      <c r="X135" s="138"/>
      <c r="Y135" s="139"/>
      <c r="Z135" s="138"/>
      <c r="AA135" s="139"/>
      <c r="AB135" s="138"/>
      <c r="AC135" s="139"/>
      <c r="AD135" s="138"/>
      <c r="AE135" s="139"/>
      <c r="AF135" s="138"/>
      <c r="AG135" s="139"/>
      <c r="AH135" s="138"/>
      <c r="AI135" s="138"/>
      <c r="AJ135" s="138"/>
      <c r="AK135" s="138"/>
      <c r="AL135" s="138"/>
    </row>
    <row r="136" spans="2:38" x14ac:dyDescent="0.25">
      <c r="E136" s="79"/>
      <c r="F136" s="71"/>
      <c r="G136" s="79"/>
      <c r="H136" s="71"/>
      <c r="I136" s="79"/>
      <c r="J136" s="71" t="s">
        <v>106</v>
      </c>
      <c r="K136" s="172" t="s">
        <v>186</v>
      </c>
      <c r="L136" s="177" t="s">
        <v>281</v>
      </c>
      <c r="M136" s="139"/>
      <c r="N136" s="143"/>
      <c r="O136" s="143"/>
      <c r="P136" s="138"/>
      <c r="Q136" s="139"/>
      <c r="R136" s="138"/>
      <c r="S136" s="143"/>
      <c r="T136" s="138"/>
      <c r="U136" s="139"/>
      <c r="V136" s="138"/>
      <c r="W136" s="138"/>
      <c r="X136" s="138"/>
      <c r="Y136" s="139"/>
      <c r="Z136" s="138"/>
      <c r="AA136" s="139"/>
      <c r="AB136" s="138"/>
      <c r="AC136" s="139"/>
      <c r="AD136" s="138"/>
      <c r="AE136" s="139"/>
      <c r="AF136" s="138"/>
      <c r="AG136" s="139"/>
      <c r="AH136" s="138"/>
      <c r="AI136" s="138"/>
      <c r="AJ136" s="138"/>
      <c r="AK136" s="138"/>
      <c r="AL136" s="138"/>
    </row>
    <row r="137" spans="2:38" x14ac:dyDescent="0.25">
      <c r="E137" s="79"/>
      <c r="F137" s="71"/>
      <c r="G137" s="79"/>
      <c r="H137" s="71" t="s">
        <v>108</v>
      </c>
      <c r="I137" s="172" t="s">
        <v>175</v>
      </c>
      <c r="J137" s="71" t="s">
        <v>107</v>
      </c>
      <c r="K137" s="172" t="s">
        <v>185</v>
      </c>
      <c r="L137" s="177" t="s">
        <v>282</v>
      </c>
      <c r="M137" s="139"/>
      <c r="N137" s="143"/>
      <c r="O137" s="143"/>
      <c r="P137" s="138"/>
      <c r="Q137" s="139"/>
      <c r="R137" s="138"/>
      <c r="S137" s="143"/>
      <c r="T137" s="138"/>
      <c r="U137" s="139"/>
      <c r="V137" s="138"/>
      <c r="W137" s="138"/>
      <c r="X137" s="138"/>
      <c r="Y137" s="139"/>
      <c r="Z137" s="138"/>
      <c r="AA137" s="139"/>
      <c r="AB137" s="138"/>
      <c r="AC137" s="139"/>
      <c r="AD137" s="138"/>
      <c r="AE137" s="139"/>
      <c r="AF137" s="138"/>
      <c r="AG137" s="139"/>
      <c r="AH137" s="138"/>
      <c r="AI137" s="138"/>
      <c r="AJ137" s="138"/>
      <c r="AK137" s="138"/>
      <c r="AL137" s="138"/>
    </row>
    <row r="138" spans="2:38" x14ac:dyDescent="0.25">
      <c r="E138" s="79"/>
      <c r="F138" s="73"/>
      <c r="G138" s="73"/>
      <c r="H138" s="73"/>
      <c r="I138" s="175" t="s">
        <v>261</v>
      </c>
      <c r="J138" s="73" t="s">
        <v>108</v>
      </c>
      <c r="K138" s="176" t="s">
        <v>163</v>
      </c>
      <c r="L138" s="178" t="s">
        <v>280</v>
      </c>
      <c r="M138" s="141"/>
      <c r="N138" s="141"/>
      <c r="O138" s="143"/>
      <c r="P138" s="138"/>
      <c r="Q138" s="139"/>
      <c r="R138" s="138"/>
      <c r="S138" s="143"/>
      <c r="T138" s="138"/>
      <c r="U138" s="139"/>
      <c r="V138" s="138"/>
      <c r="W138" s="138"/>
      <c r="X138" s="138"/>
      <c r="Y138" s="139"/>
      <c r="Z138" s="138"/>
      <c r="AA138" s="139"/>
      <c r="AB138" s="138"/>
      <c r="AC138" s="139"/>
      <c r="AD138" s="138"/>
      <c r="AE138" s="139"/>
      <c r="AF138" s="138"/>
      <c r="AG138" s="139"/>
      <c r="AH138" s="138"/>
      <c r="AI138" s="138"/>
      <c r="AJ138" s="138"/>
      <c r="AK138" s="138"/>
      <c r="AL138" s="138"/>
    </row>
    <row r="139" spans="2:38" x14ac:dyDescent="0.25">
      <c r="E139" s="79"/>
      <c r="G139" s="79"/>
      <c r="H139" s="71" t="s">
        <v>106</v>
      </c>
      <c r="I139" s="172" t="s">
        <v>180</v>
      </c>
      <c r="J139" s="177" t="s">
        <v>268</v>
      </c>
      <c r="K139" s="139"/>
      <c r="L139" s="139"/>
      <c r="M139" s="139"/>
      <c r="N139" s="143"/>
      <c r="O139" s="143"/>
      <c r="P139" s="138"/>
      <c r="Q139" s="139"/>
      <c r="R139" s="138"/>
      <c r="S139" s="143"/>
      <c r="T139" s="138"/>
      <c r="U139" s="139"/>
      <c r="V139" s="138"/>
      <c r="W139" s="138"/>
      <c r="X139" s="138"/>
      <c r="Y139" s="139"/>
      <c r="Z139" s="138"/>
      <c r="AA139" s="139"/>
      <c r="AB139" s="138"/>
      <c r="AC139" s="139"/>
      <c r="AD139" s="138"/>
      <c r="AE139" s="139"/>
      <c r="AF139" s="138"/>
      <c r="AG139" s="139"/>
      <c r="AH139" s="138"/>
      <c r="AI139" s="138"/>
      <c r="AJ139" s="138"/>
      <c r="AK139" s="138"/>
      <c r="AL139" s="138"/>
    </row>
    <row r="140" spans="2:38" x14ac:dyDescent="0.25">
      <c r="D140" s="71"/>
      <c r="E140" s="110"/>
      <c r="F140" s="71" t="s">
        <v>108</v>
      </c>
      <c r="G140" s="172" t="s">
        <v>172</v>
      </c>
      <c r="H140" s="71" t="s">
        <v>107</v>
      </c>
      <c r="I140" s="172" t="s">
        <v>179</v>
      </c>
      <c r="J140" s="177" t="s">
        <v>270</v>
      </c>
      <c r="K140" s="139"/>
      <c r="L140" s="139"/>
      <c r="M140" s="139"/>
      <c r="N140" s="143"/>
      <c r="O140" s="143"/>
      <c r="P140" s="138"/>
      <c r="Q140" s="139"/>
      <c r="R140" s="145"/>
      <c r="S140" s="143"/>
      <c r="T140" s="138"/>
      <c r="U140" s="139"/>
      <c r="V140" s="138"/>
      <c r="W140" s="138"/>
      <c r="X140" s="138"/>
      <c r="Y140" s="139"/>
      <c r="Z140" s="138"/>
      <c r="AA140" s="139"/>
      <c r="AB140" s="138"/>
      <c r="AC140" s="139"/>
      <c r="AD140" s="138"/>
      <c r="AE140" s="139"/>
      <c r="AF140" s="138"/>
      <c r="AG140" s="139"/>
      <c r="AH140" s="138"/>
      <c r="AI140" s="138"/>
      <c r="AJ140" s="138"/>
      <c r="AK140" s="138"/>
      <c r="AL140" s="138"/>
    </row>
    <row r="141" spans="2:38" x14ac:dyDescent="0.25">
      <c r="E141" s="79"/>
      <c r="F141" s="72"/>
      <c r="G141" s="175" t="s">
        <v>264</v>
      </c>
      <c r="H141" s="73" t="s">
        <v>108</v>
      </c>
      <c r="I141" s="176" t="s">
        <v>178</v>
      </c>
      <c r="J141" s="178" t="s">
        <v>269</v>
      </c>
      <c r="K141" s="141"/>
      <c r="L141" s="141"/>
      <c r="M141" s="141"/>
      <c r="N141" s="141"/>
      <c r="O141" s="143"/>
      <c r="P141" s="138"/>
      <c r="Q141" s="139"/>
      <c r="R141" s="145"/>
      <c r="S141" s="143"/>
      <c r="T141" s="138"/>
      <c r="U141" s="139"/>
      <c r="V141" s="138"/>
      <c r="W141" s="138"/>
      <c r="X141" s="138"/>
      <c r="Y141" s="139"/>
      <c r="Z141" s="138"/>
      <c r="AA141" s="139"/>
      <c r="AB141" s="138"/>
      <c r="AC141" s="139"/>
      <c r="AD141" s="138"/>
      <c r="AE141" s="139"/>
      <c r="AF141" s="138"/>
      <c r="AG141" s="139"/>
      <c r="AH141" s="138"/>
      <c r="AI141" s="138"/>
      <c r="AJ141" s="138"/>
      <c r="AK141" s="138"/>
      <c r="AL141" s="138"/>
    </row>
    <row r="142" spans="2:38" x14ac:dyDescent="0.25">
      <c r="G142" s="71"/>
      <c r="H142" s="71" t="s">
        <v>106</v>
      </c>
      <c r="I142" s="172" t="s">
        <v>182</v>
      </c>
      <c r="J142" s="177" t="s">
        <v>283</v>
      </c>
      <c r="K142" s="139"/>
      <c r="L142" s="139"/>
      <c r="M142" s="139"/>
      <c r="N142" s="143"/>
      <c r="O142" s="143"/>
      <c r="P142" s="138"/>
      <c r="Q142" s="139"/>
      <c r="R142" s="145"/>
      <c r="S142" s="143"/>
      <c r="T142" s="138"/>
      <c r="U142" s="139"/>
      <c r="V142" s="138"/>
      <c r="W142" s="138"/>
      <c r="X142" s="138"/>
      <c r="Y142" s="139"/>
      <c r="Z142" s="138"/>
      <c r="AA142" s="139"/>
      <c r="AB142" s="138"/>
      <c r="AC142" s="139"/>
      <c r="AD142" s="138"/>
      <c r="AE142" s="139"/>
      <c r="AF142" s="138"/>
      <c r="AG142" s="139"/>
      <c r="AH142" s="138"/>
      <c r="AI142" s="138"/>
      <c r="AJ142" s="138"/>
      <c r="AK142" s="138"/>
      <c r="AL142" s="138"/>
    </row>
    <row r="143" spans="2:38" x14ac:dyDescent="0.25">
      <c r="F143" t="s">
        <v>106</v>
      </c>
      <c r="G143" s="172" t="s">
        <v>177</v>
      </c>
      <c r="H143" s="71" t="s">
        <v>107</v>
      </c>
      <c r="I143" s="172" t="s">
        <v>181</v>
      </c>
      <c r="J143" s="177" t="s">
        <v>284</v>
      </c>
      <c r="K143" s="139"/>
      <c r="L143" s="139"/>
      <c r="M143" s="139"/>
      <c r="N143" s="143"/>
      <c r="O143" s="143"/>
      <c r="P143" s="138"/>
      <c r="Q143" s="139"/>
      <c r="R143" s="145"/>
      <c r="S143" s="143"/>
      <c r="T143" s="138"/>
      <c r="U143" s="139"/>
      <c r="V143" s="138"/>
      <c r="W143" s="138"/>
      <c r="X143" s="138"/>
      <c r="Y143" s="139"/>
      <c r="Z143" s="138"/>
      <c r="AA143" s="139"/>
      <c r="AB143" s="138"/>
      <c r="AC143" s="139"/>
      <c r="AD143" s="138"/>
      <c r="AE143" s="139"/>
      <c r="AF143" s="138"/>
      <c r="AG143" s="139"/>
      <c r="AH143" s="138"/>
      <c r="AI143" s="138"/>
      <c r="AJ143" s="138"/>
      <c r="AK143" s="138"/>
      <c r="AL143" s="138"/>
    </row>
    <row r="144" spans="2:38" x14ac:dyDescent="0.25">
      <c r="F144" s="72"/>
      <c r="G144" s="175" t="s">
        <v>263</v>
      </c>
      <c r="H144" s="73" t="s">
        <v>108</v>
      </c>
      <c r="I144" s="176" t="s">
        <v>170</v>
      </c>
      <c r="J144" s="178" t="s">
        <v>277</v>
      </c>
      <c r="K144" s="141"/>
      <c r="L144" s="141"/>
      <c r="M144" s="141"/>
      <c r="N144" s="141"/>
      <c r="O144" s="143"/>
      <c r="P144" s="138"/>
      <c r="Q144" s="139"/>
      <c r="R144" s="145"/>
      <c r="S144" s="143"/>
      <c r="T144" s="138"/>
      <c r="U144" s="139"/>
      <c r="V144" s="138"/>
      <c r="W144" s="138"/>
      <c r="X144" s="138"/>
      <c r="Y144" s="139"/>
      <c r="Z144" s="138"/>
      <c r="AA144" s="139"/>
      <c r="AB144" s="138"/>
      <c r="AC144" s="139"/>
      <c r="AD144" s="138"/>
      <c r="AE144" s="139"/>
      <c r="AF144" s="138"/>
      <c r="AG144" s="139"/>
      <c r="AH144" s="138"/>
      <c r="AI144" s="138"/>
      <c r="AJ144" s="138"/>
      <c r="AK144" s="138"/>
      <c r="AL144" s="138"/>
    </row>
    <row r="145" spans="1:38" x14ac:dyDescent="0.25">
      <c r="E145"/>
      <c r="F145" s="71"/>
      <c r="G145" s="71"/>
      <c r="H145" s="71" t="s">
        <v>106</v>
      </c>
      <c r="I145" s="172" t="s">
        <v>184</v>
      </c>
      <c r="J145" s="177" t="s">
        <v>278</v>
      </c>
      <c r="K145" s="139"/>
      <c r="L145" s="139"/>
      <c r="M145" s="139"/>
      <c r="N145" s="143"/>
      <c r="O145" s="143"/>
      <c r="P145" s="138"/>
      <c r="Q145" s="139"/>
      <c r="R145" s="145"/>
      <c r="S145" s="143"/>
      <c r="T145" s="138"/>
      <c r="U145" s="139"/>
      <c r="V145" s="138"/>
      <c r="W145" s="138"/>
      <c r="X145" s="138"/>
      <c r="Y145" s="139"/>
      <c r="Z145" s="138"/>
      <c r="AA145" s="139"/>
      <c r="AB145" s="138"/>
      <c r="AC145" s="139"/>
      <c r="AD145" s="138"/>
      <c r="AE145" s="139"/>
      <c r="AF145" s="138"/>
      <c r="AG145" s="139"/>
      <c r="AH145" s="138"/>
      <c r="AI145" s="138"/>
      <c r="AJ145" s="138"/>
      <c r="AK145" s="138"/>
      <c r="AL145" s="138"/>
    </row>
    <row r="146" spans="1:38" x14ac:dyDescent="0.25">
      <c r="C146" s="172" t="s">
        <v>163</v>
      </c>
      <c r="D146" s="71" t="s">
        <v>107</v>
      </c>
      <c r="E146" s="172" t="s">
        <v>169</v>
      </c>
      <c r="F146" s="71" t="s">
        <v>107</v>
      </c>
      <c r="G146" s="172" t="s">
        <v>176</v>
      </c>
      <c r="H146" s="71" t="s">
        <v>107</v>
      </c>
      <c r="I146" s="172" t="s">
        <v>183</v>
      </c>
      <c r="J146" s="177" t="s">
        <v>279</v>
      </c>
      <c r="K146" s="139"/>
      <c r="L146" s="139"/>
      <c r="M146" s="139"/>
      <c r="N146" s="143"/>
      <c r="O146" s="143"/>
      <c r="P146" s="138"/>
      <c r="Q146" s="139"/>
      <c r="R146" s="145"/>
      <c r="S146" s="143"/>
      <c r="T146" s="138"/>
      <c r="U146" s="139"/>
      <c r="V146" s="138"/>
      <c r="W146" s="138"/>
      <c r="X146" s="138"/>
      <c r="Y146" s="139"/>
      <c r="Z146" s="138"/>
      <c r="AA146" s="139"/>
      <c r="AB146" s="138"/>
      <c r="AC146" s="139"/>
      <c r="AD146" s="138"/>
      <c r="AE146" s="139"/>
      <c r="AF146" s="138"/>
      <c r="AG146" s="139"/>
      <c r="AH146" s="138"/>
      <c r="AI146" s="138"/>
      <c r="AJ146" s="138"/>
      <c r="AK146" s="138"/>
      <c r="AL146" s="138"/>
    </row>
    <row r="147" spans="1:38" x14ac:dyDescent="0.25">
      <c r="C147" s="173" t="s">
        <v>259</v>
      </c>
      <c r="D147" s="71"/>
      <c r="E147" s="175" t="s">
        <v>274</v>
      </c>
      <c r="F147" s="73"/>
      <c r="G147" s="175" t="s">
        <v>262</v>
      </c>
      <c r="H147" s="73" t="s">
        <v>108</v>
      </c>
      <c r="I147" s="176" t="s">
        <v>171</v>
      </c>
      <c r="J147" s="178" t="s">
        <v>271</v>
      </c>
      <c r="K147" s="141"/>
      <c r="L147" s="141"/>
      <c r="M147" s="141"/>
      <c r="N147" s="141"/>
      <c r="O147" s="143"/>
      <c r="P147" s="138"/>
      <c r="Q147" s="139"/>
      <c r="R147" s="145"/>
      <c r="S147" s="143"/>
      <c r="T147" s="138"/>
      <c r="U147" s="139"/>
      <c r="V147" s="138"/>
      <c r="W147" s="138"/>
      <c r="X147" s="138"/>
      <c r="Y147" s="139"/>
      <c r="Z147" s="138"/>
      <c r="AA147" s="139"/>
      <c r="AB147" s="138"/>
      <c r="AC147" s="139"/>
      <c r="AD147" s="138"/>
      <c r="AE147" s="139"/>
      <c r="AF147" s="138"/>
      <c r="AG147" s="139"/>
      <c r="AH147" s="138"/>
      <c r="AI147" s="138"/>
      <c r="AJ147" s="138"/>
      <c r="AK147" s="138"/>
      <c r="AL147" s="138"/>
    </row>
    <row r="148" spans="1:38" x14ac:dyDescent="0.25">
      <c r="C148" s="110"/>
      <c r="D148" s="71"/>
      <c r="E148" s="79"/>
      <c r="H148" s="71" t="s">
        <v>106</v>
      </c>
      <c r="I148" s="172" t="s">
        <v>186</v>
      </c>
      <c r="J148" s="177" t="s">
        <v>281</v>
      </c>
      <c r="K148" s="139"/>
      <c r="L148" s="139"/>
      <c r="M148" s="139"/>
      <c r="N148" s="143"/>
      <c r="O148" s="143"/>
      <c r="P148" s="138"/>
      <c r="Q148" s="139"/>
      <c r="R148" s="145"/>
      <c r="S148" s="143"/>
      <c r="T148" s="138"/>
      <c r="U148" s="139"/>
      <c r="V148" s="138"/>
      <c r="W148" s="138"/>
      <c r="X148" s="138"/>
      <c r="Y148" s="139"/>
      <c r="Z148" s="138"/>
      <c r="AA148" s="139"/>
      <c r="AB148" s="138"/>
      <c r="AC148" s="139"/>
      <c r="AD148" s="138"/>
      <c r="AE148" s="139"/>
      <c r="AF148" s="138"/>
      <c r="AG148" s="139"/>
      <c r="AH148" s="138"/>
      <c r="AI148" s="138"/>
      <c r="AJ148" s="138"/>
      <c r="AK148" s="138"/>
      <c r="AL148" s="138"/>
    </row>
    <row r="149" spans="1:38" x14ac:dyDescent="0.25">
      <c r="C149" s="110"/>
      <c r="D149" s="71"/>
      <c r="E149" s="110"/>
      <c r="F149" s="71" t="s">
        <v>108</v>
      </c>
      <c r="G149" s="172" t="s">
        <v>175</v>
      </c>
      <c r="H149" s="71" t="s">
        <v>107</v>
      </c>
      <c r="I149" s="172" t="s">
        <v>185</v>
      </c>
      <c r="J149" s="177" t="s">
        <v>282</v>
      </c>
      <c r="K149" s="139"/>
      <c r="L149" s="139"/>
      <c r="M149" s="139"/>
      <c r="N149" s="143"/>
      <c r="O149" s="143"/>
      <c r="P149" s="138"/>
      <c r="Q149" s="139"/>
      <c r="R149" s="145"/>
      <c r="S149" s="143"/>
      <c r="T149" s="138"/>
      <c r="U149" s="139"/>
      <c r="V149" s="138"/>
      <c r="W149" s="138"/>
      <c r="X149" s="138"/>
      <c r="Y149" s="139"/>
      <c r="Z149" s="138"/>
      <c r="AA149" s="139"/>
      <c r="AB149" s="138"/>
      <c r="AC149" s="139"/>
      <c r="AD149" s="138"/>
      <c r="AE149" s="139"/>
      <c r="AF149" s="138"/>
      <c r="AG149" s="139"/>
      <c r="AH149" s="138"/>
      <c r="AI149" s="138"/>
      <c r="AJ149" s="138"/>
      <c r="AK149" s="138"/>
      <c r="AL149" s="138"/>
    </row>
    <row r="150" spans="1:38" x14ac:dyDescent="0.25">
      <c r="E150" s="79"/>
      <c r="F150" s="72"/>
      <c r="G150" s="175" t="s">
        <v>261</v>
      </c>
      <c r="H150" s="73" t="s">
        <v>108</v>
      </c>
      <c r="I150" s="176" t="s">
        <v>163</v>
      </c>
      <c r="J150" s="178" t="s">
        <v>280</v>
      </c>
      <c r="K150" s="141"/>
      <c r="L150" s="141"/>
      <c r="M150" s="141"/>
      <c r="N150" s="141"/>
      <c r="O150" s="143"/>
      <c r="P150" s="138"/>
      <c r="Q150" s="139"/>
      <c r="R150" s="145"/>
      <c r="S150" s="143"/>
      <c r="T150" s="138"/>
      <c r="U150" s="139"/>
      <c r="V150" s="138"/>
      <c r="W150" s="138"/>
      <c r="X150" s="138"/>
      <c r="Y150" s="139"/>
      <c r="Z150" s="138"/>
      <c r="AA150" s="139"/>
      <c r="AB150" s="138"/>
      <c r="AC150" s="139"/>
      <c r="AD150" s="138"/>
      <c r="AE150" s="139"/>
      <c r="AF150" s="138"/>
      <c r="AG150" s="139"/>
      <c r="AH150" s="138"/>
      <c r="AI150" s="138"/>
      <c r="AJ150" s="138"/>
      <c r="AK150" s="138"/>
      <c r="AL150" s="138"/>
    </row>
    <row r="151" spans="1:38" x14ac:dyDescent="0.25">
      <c r="D151" s="71"/>
      <c r="E151" s="79"/>
      <c r="F151" s="79" t="s">
        <v>106</v>
      </c>
      <c r="G151" s="172" t="s">
        <v>180</v>
      </c>
      <c r="H151" s="177" t="s">
        <v>268</v>
      </c>
      <c r="I151" s="141"/>
      <c r="J151" s="142"/>
      <c r="K151" s="141"/>
      <c r="L151" s="141"/>
      <c r="M151" s="141"/>
      <c r="N151" s="141"/>
      <c r="O151" s="143"/>
      <c r="P151" s="138"/>
      <c r="Q151" s="139"/>
      <c r="R151" s="145"/>
      <c r="S151" s="143"/>
      <c r="T151" s="138"/>
      <c r="U151" s="139"/>
      <c r="V151" s="138"/>
      <c r="W151" s="138"/>
      <c r="X151" s="138"/>
      <c r="Y151" s="139"/>
      <c r="Z151" s="138"/>
      <c r="AA151" s="139"/>
      <c r="AB151" s="138"/>
      <c r="AC151" s="139"/>
      <c r="AD151" s="138"/>
      <c r="AE151" s="139"/>
      <c r="AF151" s="138"/>
      <c r="AG151" s="139"/>
      <c r="AH151" s="138"/>
      <c r="AI151" s="138"/>
      <c r="AJ151" s="138"/>
      <c r="AK151" s="138"/>
      <c r="AL151" s="138"/>
    </row>
    <row r="152" spans="1:38" x14ac:dyDescent="0.25">
      <c r="B152" s="71" t="s">
        <v>106</v>
      </c>
      <c r="D152" t="s">
        <v>108</v>
      </c>
      <c r="E152" s="172" t="s">
        <v>168</v>
      </c>
      <c r="F152" s="79" t="s">
        <v>107</v>
      </c>
      <c r="G152" s="172" t="s">
        <v>179</v>
      </c>
      <c r="H152" s="177" t="s">
        <v>270</v>
      </c>
      <c r="I152" s="139"/>
      <c r="J152" s="145"/>
      <c r="K152" s="139"/>
      <c r="L152" s="139"/>
      <c r="M152" s="139"/>
      <c r="N152" s="143"/>
      <c r="O152" s="143"/>
      <c r="P152" s="138"/>
      <c r="Q152" s="139"/>
      <c r="R152" s="145"/>
      <c r="S152" s="143"/>
      <c r="T152" s="138"/>
      <c r="U152" s="139"/>
      <c r="V152" s="138"/>
      <c r="W152" s="138"/>
      <c r="X152" s="138"/>
      <c r="Y152" s="139"/>
      <c r="Z152" s="138"/>
      <c r="AA152" s="139"/>
      <c r="AB152" s="138"/>
      <c r="AC152" s="139"/>
      <c r="AD152" s="138"/>
      <c r="AE152" s="139"/>
      <c r="AF152" s="138"/>
      <c r="AG152" s="139"/>
      <c r="AH152" s="138"/>
      <c r="AI152" s="138"/>
      <c r="AJ152" s="138"/>
      <c r="AK152" s="138"/>
      <c r="AL152" s="138"/>
    </row>
    <row r="153" spans="1:38" x14ac:dyDescent="0.25">
      <c r="C153" s="72"/>
      <c r="D153" s="72"/>
      <c r="E153" s="175" t="s">
        <v>267</v>
      </c>
      <c r="F153" s="80" t="s">
        <v>108</v>
      </c>
      <c r="G153" s="176" t="s">
        <v>178</v>
      </c>
      <c r="H153" s="178" t="s">
        <v>269</v>
      </c>
      <c r="I153" s="141"/>
      <c r="J153" s="142"/>
      <c r="K153" s="141"/>
      <c r="L153" s="141"/>
      <c r="M153" s="141"/>
      <c r="N153" s="141"/>
      <c r="O153" s="143"/>
      <c r="P153" s="138"/>
      <c r="Q153" s="139"/>
      <c r="R153" s="145"/>
      <c r="S153" s="143"/>
      <c r="T153" s="138"/>
      <c r="U153" s="139"/>
      <c r="V153" s="138"/>
      <c r="W153" s="138"/>
      <c r="X153" s="138"/>
      <c r="Y153" s="139"/>
      <c r="Z153" s="138"/>
      <c r="AA153" s="139"/>
      <c r="AB153" s="138"/>
      <c r="AC153" s="139"/>
      <c r="AD153" s="138"/>
      <c r="AE153" s="139"/>
      <c r="AF153" s="138"/>
      <c r="AG153" s="139"/>
      <c r="AH153" s="138"/>
      <c r="AI153" s="138"/>
      <c r="AJ153" s="138"/>
      <c r="AK153" s="138"/>
      <c r="AL153" s="138"/>
    </row>
    <row r="154" spans="1:38" x14ac:dyDescent="0.25">
      <c r="C154" s="75"/>
      <c r="F154" s="71" t="s">
        <v>106</v>
      </c>
      <c r="G154" s="172" t="s">
        <v>182</v>
      </c>
      <c r="H154" s="177" t="s">
        <v>275</v>
      </c>
      <c r="I154" s="139"/>
      <c r="J154" s="145"/>
      <c r="K154" s="139"/>
      <c r="L154" s="139"/>
      <c r="M154" s="139"/>
      <c r="N154" s="143"/>
      <c r="O154" s="143"/>
      <c r="P154" s="138"/>
      <c r="Q154" s="139"/>
      <c r="R154" s="145"/>
      <c r="S154" s="143"/>
      <c r="T154" s="138"/>
      <c r="U154" s="139"/>
      <c r="V154" s="138"/>
      <c r="W154" s="138"/>
      <c r="X154" s="138"/>
      <c r="Y154" s="139"/>
      <c r="Z154" s="138"/>
      <c r="AA154" s="139"/>
      <c r="AB154" s="138"/>
      <c r="AC154" s="139"/>
      <c r="AD154" s="138"/>
      <c r="AE154" s="139"/>
      <c r="AF154" s="138"/>
      <c r="AG154" s="139"/>
      <c r="AH154" s="138"/>
      <c r="AI154" s="138"/>
      <c r="AJ154" s="138"/>
      <c r="AK154" s="138"/>
      <c r="AL154" s="138"/>
    </row>
    <row r="155" spans="1:38" x14ac:dyDescent="0.25">
      <c r="A155" s="172" t="s">
        <v>160</v>
      </c>
      <c r="E155" s="172" t="s">
        <v>171</v>
      </c>
      <c r="F155" s="71" t="s">
        <v>107</v>
      </c>
      <c r="G155" s="172" t="s">
        <v>181</v>
      </c>
      <c r="H155" s="177" t="s">
        <v>276</v>
      </c>
      <c r="I155" s="139"/>
      <c r="J155" s="145"/>
      <c r="K155" s="139"/>
      <c r="L155" s="139"/>
      <c r="M155" s="139"/>
      <c r="N155" s="143"/>
      <c r="O155" s="143"/>
      <c r="P155" s="138"/>
      <c r="Q155" s="139"/>
      <c r="R155" s="145"/>
      <c r="S155" s="143"/>
      <c r="T155" s="138"/>
      <c r="U155" s="139"/>
      <c r="V155" s="138"/>
      <c r="W155" s="138"/>
      <c r="X155" s="138"/>
      <c r="Y155" s="139"/>
      <c r="Z155" s="138"/>
      <c r="AA155" s="139"/>
      <c r="AB155" s="138"/>
      <c r="AC155" s="139"/>
      <c r="AD155" s="138"/>
      <c r="AE155" s="139"/>
      <c r="AF155" s="138"/>
      <c r="AG155" s="139"/>
      <c r="AH155" s="138"/>
      <c r="AI155" s="138"/>
      <c r="AJ155" s="138"/>
      <c r="AK155" s="138"/>
      <c r="AL155" s="138"/>
    </row>
    <row r="156" spans="1:38" x14ac:dyDescent="0.25">
      <c r="A156" s="173" t="s">
        <v>255</v>
      </c>
      <c r="D156" s="71" t="s">
        <v>106</v>
      </c>
      <c r="E156" s="175" t="s">
        <v>271</v>
      </c>
      <c r="F156" s="73" t="s">
        <v>108</v>
      </c>
      <c r="G156" s="176" t="s">
        <v>170</v>
      </c>
      <c r="H156" s="178" t="s">
        <v>277</v>
      </c>
      <c r="I156" s="141"/>
      <c r="J156" s="142"/>
      <c r="K156" s="141"/>
      <c r="L156" s="141"/>
      <c r="M156" s="141"/>
      <c r="N156" s="141"/>
      <c r="O156" s="143"/>
      <c r="P156" s="138"/>
      <c r="Q156" s="139"/>
      <c r="R156" s="145"/>
      <c r="S156" s="143"/>
      <c r="T156" s="138"/>
      <c r="U156" s="139"/>
      <c r="V156" s="138"/>
      <c r="W156" s="138"/>
      <c r="X156" s="138"/>
      <c r="Y156" s="139"/>
      <c r="Z156" s="138"/>
      <c r="AA156" s="139"/>
      <c r="AB156" s="138"/>
      <c r="AC156" s="139"/>
      <c r="AD156" s="138"/>
      <c r="AE156" s="139"/>
      <c r="AF156" s="138"/>
      <c r="AG156" s="139"/>
      <c r="AH156" s="138"/>
      <c r="AI156" s="138"/>
      <c r="AJ156" s="138"/>
      <c r="AK156" s="138"/>
      <c r="AL156" s="138"/>
    </row>
    <row r="157" spans="1:38" x14ac:dyDescent="0.25">
      <c r="A157" s="71"/>
      <c r="B157" s="71" t="s">
        <v>107</v>
      </c>
      <c r="F157" s="71" t="s">
        <v>106</v>
      </c>
      <c r="G157" s="172" t="s">
        <v>184</v>
      </c>
      <c r="H157" s="177" t="s">
        <v>278</v>
      </c>
      <c r="I157" s="139"/>
      <c r="J157" s="145"/>
      <c r="K157" s="139"/>
      <c r="L157" s="139"/>
      <c r="M157" s="139"/>
      <c r="N157" s="143"/>
      <c r="O157" s="143"/>
      <c r="P157" s="138"/>
      <c r="Q157" s="139"/>
      <c r="R157" s="145"/>
      <c r="S157" s="143"/>
      <c r="T157" s="138"/>
      <c r="U157" s="139"/>
      <c r="V157" s="138"/>
      <c r="W157" s="138"/>
      <c r="X157" s="138"/>
      <c r="Y157" s="139"/>
      <c r="Z157" s="138"/>
      <c r="AA157" s="139"/>
      <c r="AB157" s="138"/>
      <c r="AC157" s="139"/>
      <c r="AD157" s="138"/>
      <c r="AE157" s="139"/>
      <c r="AF157" s="138"/>
      <c r="AG157" s="139"/>
      <c r="AH157" s="138"/>
      <c r="AI157" s="138"/>
      <c r="AJ157" s="138"/>
      <c r="AK157" s="138"/>
      <c r="AL157" s="138"/>
    </row>
    <row r="158" spans="1:38" x14ac:dyDescent="0.25">
      <c r="A158" s="71"/>
      <c r="C158" s="172" t="s">
        <v>164</v>
      </c>
      <c r="D158" t="s">
        <v>107</v>
      </c>
      <c r="E158" s="172" t="s">
        <v>167</v>
      </c>
      <c r="F158" s="71" t="s">
        <v>107</v>
      </c>
      <c r="G158" s="172" t="s">
        <v>183</v>
      </c>
      <c r="H158" s="177" t="s">
        <v>279</v>
      </c>
      <c r="I158" s="139"/>
      <c r="J158" s="145"/>
      <c r="K158" s="139"/>
      <c r="L158" s="139"/>
      <c r="M158" s="139"/>
      <c r="N158" s="143"/>
      <c r="O158" s="143"/>
      <c r="P158" s="138"/>
      <c r="Q158" s="139"/>
      <c r="R158" s="145"/>
      <c r="S158" s="143"/>
      <c r="T158" s="138"/>
      <c r="U158" s="139"/>
      <c r="V158" s="138"/>
      <c r="W158" s="138"/>
      <c r="X158" s="138"/>
      <c r="Y158" s="139"/>
      <c r="Z158" s="138"/>
      <c r="AA158" s="139"/>
      <c r="AB158" s="138"/>
      <c r="AC158" s="139"/>
      <c r="AD158" s="138"/>
      <c r="AE158" s="139"/>
      <c r="AF158" s="138"/>
      <c r="AG158" s="139"/>
      <c r="AH158" s="138"/>
      <c r="AI158" s="138"/>
      <c r="AJ158" s="138"/>
      <c r="AK158" s="138"/>
      <c r="AL158" s="138"/>
    </row>
    <row r="159" spans="1:38" x14ac:dyDescent="0.25">
      <c r="A159" s="71"/>
      <c r="C159" s="173" t="s">
        <v>257</v>
      </c>
      <c r="E159" s="175" t="s">
        <v>272</v>
      </c>
      <c r="F159" s="73" t="s">
        <v>108</v>
      </c>
      <c r="G159" s="176" t="s">
        <v>171</v>
      </c>
      <c r="H159" s="178" t="s">
        <v>271</v>
      </c>
      <c r="I159" s="141"/>
      <c r="J159" s="142"/>
      <c r="K159" s="141"/>
      <c r="L159" s="141"/>
      <c r="M159" s="141"/>
      <c r="N159" s="141"/>
      <c r="O159" s="143"/>
      <c r="P159" s="138"/>
      <c r="Q159" s="139"/>
      <c r="R159" s="145"/>
      <c r="S159" s="143"/>
      <c r="T159" s="145"/>
      <c r="U159" s="139"/>
      <c r="V159" s="138"/>
      <c r="W159" s="138"/>
      <c r="X159" s="138"/>
      <c r="Y159" s="139"/>
      <c r="Z159" s="138"/>
      <c r="AA159" s="139"/>
      <c r="AB159" s="138"/>
      <c r="AC159" s="139"/>
      <c r="AD159" s="138"/>
      <c r="AE159" s="139"/>
      <c r="AF159" s="138"/>
      <c r="AG159" s="139"/>
      <c r="AH159" s="138"/>
      <c r="AI159" s="138"/>
      <c r="AJ159" s="138"/>
      <c r="AK159" s="138"/>
      <c r="AL159" s="138"/>
    </row>
    <row r="160" spans="1:38" x14ac:dyDescent="0.25">
      <c r="A160" s="71"/>
      <c r="D160" s="71" t="s">
        <v>108</v>
      </c>
      <c r="F160" s="71" t="s">
        <v>106</v>
      </c>
      <c r="G160" s="172" t="s">
        <v>186</v>
      </c>
      <c r="H160" s="177" t="s">
        <v>281</v>
      </c>
      <c r="I160" s="139"/>
      <c r="J160" s="145"/>
      <c r="K160" s="139"/>
      <c r="L160" s="139"/>
      <c r="M160" s="139"/>
      <c r="N160" s="143"/>
      <c r="O160" s="143"/>
      <c r="P160" s="138"/>
      <c r="Q160" s="139"/>
      <c r="R160" s="145"/>
      <c r="S160" s="143"/>
      <c r="T160" s="145"/>
      <c r="U160" s="139"/>
      <c r="V160" s="138"/>
      <c r="W160" s="138"/>
      <c r="X160" s="138"/>
      <c r="Y160" s="139"/>
      <c r="Z160" s="138"/>
      <c r="AA160" s="139"/>
      <c r="AB160" s="138"/>
      <c r="AC160" s="139"/>
      <c r="AD160" s="138"/>
      <c r="AE160" s="139"/>
      <c r="AF160" s="138"/>
      <c r="AG160" s="139"/>
      <c r="AH160" s="138"/>
      <c r="AI160" s="138"/>
      <c r="AJ160" s="138"/>
      <c r="AK160" s="138"/>
      <c r="AL160" s="138"/>
    </row>
    <row r="161" spans="1:38" x14ac:dyDescent="0.25">
      <c r="A161" s="71"/>
      <c r="E161" s="172" t="s">
        <v>166</v>
      </c>
      <c r="F161" s="71" t="s">
        <v>107</v>
      </c>
      <c r="G161" s="172" t="s">
        <v>185</v>
      </c>
      <c r="H161" s="177" t="s">
        <v>282</v>
      </c>
      <c r="I161" s="139"/>
      <c r="J161" s="145"/>
      <c r="K161" s="139"/>
      <c r="L161" s="139"/>
      <c r="M161" s="139"/>
      <c r="N161" s="143"/>
      <c r="O161" s="143"/>
      <c r="P161" s="138"/>
      <c r="Q161" s="139"/>
      <c r="R161" s="145"/>
      <c r="S161" s="143"/>
      <c r="T161" s="145"/>
      <c r="U161" s="139"/>
      <c r="V161" s="138"/>
      <c r="W161" s="138"/>
      <c r="X161" s="138"/>
      <c r="Y161" s="139"/>
      <c r="Z161" s="138"/>
      <c r="AA161" s="139"/>
      <c r="AB161" s="138"/>
      <c r="AC161" s="139"/>
      <c r="AD161" s="138"/>
      <c r="AE161" s="139"/>
      <c r="AF161" s="138"/>
      <c r="AG161" s="139"/>
      <c r="AH161" s="138"/>
      <c r="AI161" s="138"/>
      <c r="AJ161" s="138"/>
      <c r="AK161" s="138"/>
      <c r="AL161" s="138"/>
    </row>
    <row r="162" spans="1:38" x14ac:dyDescent="0.25">
      <c r="A162" s="71"/>
      <c r="C162" s="72"/>
      <c r="D162" s="72"/>
      <c r="E162" s="175" t="s">
        <v>273</v>
      </c>
      <c r="F162" s="73" t="s">
        <v>108</v>
      </c>
      <c r="G162" s="176" t="s">
        <v>163</v>
      </c>
      <c r="H162" s="178" t="s">
        <v>280</v>
      </c>
      <c r="I162" s="141"/>
      <c r="J162" s="142"/>
      <c r="K162" s="141"/>
      <c r="L162" s="141"/>
      <c r="M162" s="141"/>
      <c r="N162" s="141"/>
      <c r="O162" s="143"/>
      <c r="P162" s="145"/>
      <c r="Q162" s="139"/>
      <c r="R162" s="145"/>
      <c r="S162" s="139"/>
      <c r="T162" s="145"/>
      <c r="U162" s="139"/>
      <c r="V162" s="138"/>
      <c r="W162" s="138"/>
      <c r="X162" s="138"/>
      <c r="Y162" s="139"/>
      <c r="Z162" s="138"/>
      <c r="AA162" s="139"/>
      <c r="AB162" s="138"/>
      <c r="AC162" s="139"/>
      <c r="AD162" s="138"/>
      <c r="AE162" s="139"/>
      <c r="AF162" s="138"/>
      <c r="AG162" s="139"/>
      <c r="AH162" s="138"/>
      <c r="AI162" s="138"/>
      <c r="AJ162" s="138"/>
      <c r="AK162" s="138"/>
      <c r="AL162" s="138"/>
    </row>
    <row r="163" spans="1:38" x14ac:dyDescent="0.25">
      <c r="A163" s="71"/>
      <c r="B163" s="71" t="s">
        <v>108</v>
      </c>
      <c r="C163" s="75"/>
      <c r="D163" s="75"/>
      <c r="F163" s="71" t="s">
        <v>106</v>
      </c>
      <c r="G163" s="172" t="s">
        <v>170</v>
      </c>
      <c r="H163" s="177" t="s">
        <v>277</v>
      </c>
      <c r="I163" s="139"/>
      <c r="J163" s="145"/>
      <c r="K163" s="139"/>
      <c r="L163" s="139"/>
      <c r="M163" s="139"/>
      <c r="N163" s="143"/>
      <c r="O163" s="143"/>
      <c r="P163" s="145"/>
      <c r="Q163" s="139"/>
      <c r="R163" s="145"/>
      <c r="S163" s="139"/>
      <c r="T163" s="145"/>
      <c r="U163" s="139"/>
      <c r="V163" s="138"/>
      <c r="W163" s="138"/>
      <c r="X163" s="138"/>
      <c r="Y163" s="139"/>
      <c r="Z163" s="138"/>
      <c r="AA163" s="139"/>
      <c r="AB163" s="138"/>
      <c r="AC163" s="139"/>
      <c r="AD163" s="138"/>
      <c r="AE163" s="139"/>
      <c r="AF163" s="138"/>
      <c r="AG163" s="139"/>
      <c r="AH163" s="138"/>
      <c r="AI163" s="138"/>
      <c r="AJ163" s="138"/>
      <c r="AK163" s="138"/>
      <c r="AL163" s="138"/>
    </row>
    <row r="164" spans="1:38" x14ac:dyDescent="0.25">
      <c r="A164" s="71"/>
      <c r="E164" s="172" t="s">
        <v>163</v>
      </c>
      <c r="F164" s="71" t="s">
        <v>107</v>
      </c>
      <c r="G164" s="172" t="s">
        <v>169</v>
      </c>
      <c r="H164" s="177" t="s">
        <v>274</v>
      </c>
      <c r="I164" s="139"/>
      <c r="J164" s="145"/>
      <c r="K164" s="139"/>
      <c r="L164" s="139"/>
      <c r="M164" s="139"/>
      <c r="N164" s="143"/>
      <c r="O164" s="143"/>
      <c r="P164" s="145"/>
      <c r="Q164" s="139"/>
      <c r="R164" s="145"/>
      <c r="S164" s="139"/>
      <c r="T164" s="145"/>
      <c r="U164" s="139"/>
      <c r="V164" s="138"/>
      <c r="W164" s="138"/>
      <c r="X164" s="138"/>
      <c r="Y164" s="139"/>
      <c r="Z164" s="138"/>
      <c r="AA164" s="139"/>
      <c r="AB164" s="138"/>
      <c r="AC164" s="139"/>
      <c r="AD164" s="138"/>
      <c r="AE164" s="139"/>
      <c r="AF164" s="138"/>
      <c r="AG164" s="139"/>
      <c r="AH164" s="138"/>
      <c r="AI164" s="138"/>
      <c r="AJ164" s="138"/>
      <c r="AK164" s="138"/>
      <c r="AL164" s="138"/>
    </row>
    <row r="165" spans="1:38" x14ac:dyDescent="0.25">
      <c r="A165" s="71"/>
      <c r="B165" s="71"/>
      <c r="E165" s="173" t="s">
        <v>259</v>
      </c>
      <c r="F165" s="73" t="s">
        <v>108</v>
      </c>
      <c r="G165" s="176" t="s">
        <v>168</v>
      </c>
      <c r="H165" s="178" t="s">
        <v>267</v>
      </c>
      <c r="I165" s="141"/>
      <c r="J165" s="142"/>
      <c r="K165" s="141"/>
      <c r="L165" s="141"/>
      <c r="M165" s="141"/>
      <c r="N165" s="141"/>
      <c r="O165" s="143"/>
      <c r="P165" s="145"/>
      <c r="Q165" s="139"/>
      <c r="R165" s="145"/>
      <c r="S165" s="139"/>
      <c r="T165" s="145"/>
      <c r="U165" s="139"/>
      <c r="V165" s="138"/>
      <c r="W165" s="138"/>
      <c r="X165" s="138"/>
      <c r="Y165" s="139"/>
      <c r="Z165" s="138"/>
      <c r="AA165" s="139"/>
      <c r="AB165" s="138"/>
      <c r="AC165" s="139"/>
      <c r="AD165" s="138"/>
      <c r="AE165" s="139"/>
      <c r="AF165" s="138"/>
      <c r="AG165" s="139"/>
      <c r="AH165" s="138"/>
      <c r="AI165" s="138"/>
      <c r="AJ165" s="138"/>
      <c r="AK165" s="138"/>
      <c r="AL165" s="138"/>
    </row>
    <row r="166" spans="1:38" x14ac:dyDescent="0.25">
      <c r="A166" s="71"/>
      <c r="B166" s="71"/>
      <c r="D166" s="71" t="s">
        <v>106</v>
      </c>
      <c r="F166" s="71" t="s">
        <v>106</v>
      </c>
      <c r="G166" s="172" t="s">
        <v>171</v>
      </c>
      <c r="H166" s="177" t="s">
        <v>271</v>
      </c>
      <c r="I166" s="139"/>
      <c r="J166" s="145"/>
      <c r="K166" s="139"/>
      <c r="L166" s="139"/>
      <c r="M166" s="139"/>
      <c r="N166" s="143"/>
      <c r="O166" s="143"/>
      <c r="P166" s="145"/>
      <c r="Q166" s="139"/>
      <c r="R166" s="145"/>
      <c r="S166" s="139"/>
      <c r="T166" s="145"/>
      <c r="U166" s="139"/>
      <c r="V166" s="138"/>
      <c r="W166" s="138"/>
      <c r="X166" s="138"/>
      <c r="Y166" s="139"/>
      <c r="Z166" s="138"/>
      <c r="AA166" s="139"/>
      <c r="AB166" s="138"/>
      <c r="AC166" s="139"/>
      <c r="AD166" s="138"/>
      <c r="AE166" s="139"/>
      <c r="AF166" s="138"/>
      <c r="AG166" s="139"/>
      <c r="AH166" s="138"/>
      <c r="AI166" s="138"/>
      <c r="AJ166" s="138"/>
      <c r="AK166" s="138"/>
      <c r="AL166" s="138"/>
    </row>
    <row r="167" spans="1:38" x14ac:dyDescent="0.25">
      <c r="A167" s="71"/>
      <c r="B167" s="71"/>
      <c r="C167" s="172" t="s">
        <v>160</v>
      </c>
      <c r="D167" s="71" t="s">
        <v>107</v>
      </c>
      <c r="E167" s="172" t="s">
        <v>164</v>
      </c>
      <c r="F167" s="71" t="s">
        <v>107</v>
      </c>
      <c r="G167" s="172" t="s">
        <v>167</v>
      </c>
      <c r="H167" s="177" t="s">
        <v>277</v>
      </c>
      <c r="I167" s="139"/>
      <c r="J167" s="145"/>
      <c r="K167" s="139"/>
      <c r="L167" s="139"/>
      <c r="M167" s="139"/>
      <c r="N167" s="143"/>
      <c r="O167" s="143"/>
      <c r="P167" s="145"/>
      <c r="Q167" s="139"/>
      <c r="R167" s="145"/>
      <c r="S167" s="139"/>
      <c r="T167" s="145"/>
      <c r="U167" s="139"/>
      <c r="V167" s="138"/>
      <c r="W167" s="138"/>
      <c r="X167" s="138"/>
      <c r="Y167" s="139"/>
      <c r="Z167" s="138"/>
      <c r="AA167" s="139"/>
      <c r="AB167" s="138"/>
      <c r="AC167" s="139"/>
      <c r="AD167" s="138"/>
      <c r="AE167" s="139"/>
      <c r="AF167" s="138"/>
      <c r="AG167" s="139"/>
      <c r="AH167" s="138"/>
      <c r="AI167" s="138"/>
      <c r="AJ167" s="138"/>
      <c r="AK167" s="138"/>
      <c r="AL167" s="138"/>
    </row>
    <row r="168" spans="1:38" x14ac:dyDescent="0.25">
      <c r="A168" s="71"/>
      <c r="B168" s="71"/>
      <c r="C168" s="173" t="s">
        <v>258</v>
      </c>
      <c r="E168" s="175" t="s">
        <v>256</v>
      </c>
      <c r="F168" s="73" t="s">
        <v>108</v>
      </c>
      <c r="G168" s="176" t="s">
        <v>166</v>
      </c>
      <c r="H168" s="178" t="s">
        <v>273</v>
      </c>
      <c r="I168" s="141"/>
      <c r="J168" s="142"/>
      <c r="K168" s="141"/>
      <c r="L168" s="141"/>
      <c r="M168" s="141"/>
      <c r="N168" s="141"/>
      <c r="O168" s="143"/>
      <c r="P168" s="145"/>
      <c r="Q168" s="139"/>
      <c r="R168" s="145"/>
      <c r="S168" s="139"/>
      <c r="T168" s="145"/>
      <c r="U168" s="139"/>
      <c r="V168" s="138"/>
      <c r="W168" s="138"/>
      <c r="X168" s="138"/>
      <c r="Y168" s="139"/>
      <c r="Z168" s="138"/>
      <c r="AA168" s="139"/>
      <c r="AB168" s="138"/>
      <c r="AC168" s="139"/>
      <c r="AD168" s="138"/>
      <c r="AE168" s="139"/>
      <c r="AF168" s="138"/>
      <c r="AG168" s="139"/>
      <c r="AH168" s="138"/>
      <c r="AI168" s="138"/>
      <c r="AJ168" s="138"/>
      <c r="AK168" s="138"/>
      <c r="AL168" s="138"/>
    </row>
    <row r="169" spans="1:38" x14ac:dyDescent="0.25">
      <c r="A169" s="71"/>
      <c r="B169" s="71"/>
      <c r="D169" s="71" t="s">
        <v>108</v>
      </c>
      <c r="E169" s="79"/>
      <c r="F169" s="71" t="s">
        <v>106</v>
      </c>
      <c r="G169" s="172" t="s">
        <v>163</v>
      </c>
      <c r="H169" s="177" t="s">
        <v>280</v>
      </c>
      <c r="I169" s="139"/>
      <c r="J169" s="145"/>
      <c r="K169" s="139"/>
      <c r="L169" s="139"/>
      <c r="M169" s="139"/>
      <c r="N169" s="143"/>
      <c r="O169" s="143"/>
      <c r="P169" s="145"/>
      <c r="Q169" s="139"/>
      <c r="R169" s="145"/>
      <c r="S169" s="139"/>
      <c r="T169" s="145"/>
      <c r="U169" s="139"/>
      <c r="V169" s="138"/>
      <c r="W169" s="138"/>
      <c r="X169" s="138"/>
      <c r="Y169" s="139"/>
      <c r="Z169" s="138"/>
      <c r="AA169" s="139"/>
      <c r="AB169" s="138"/>
      <c r="AC169" s="139"/>
      <c r="AD169" s="138"/>
      <c r="AE169" s="139"/>
      <c r="AF169" s="138"/>
      <c r="AG169" s="139"/>
      <c r="AH169" s="138"/>
      <c r="AI169" s="138"/>
      <c r="AJ169" s="138"/>
      <c r="AK169" s="138"/>
      <c r="AL169" s="138"/>
    </row>
    <row r="170" spans="1:38" x14ac:dyDescent="0.25">
      <c r="A170" s="71"/>
      <c r="B170" s="71"/>
      <c r="E170" s="172" t="s">
        <v>160</v>
      </c>
      <c r="F170" s="71" t="s">
        <v>107</v>
      </c>
      <c r="G170" s="172" t="s">
        <v>164</v>
      </c>
      <c r="H170" s="177" t="s">
        <v>274</v>
      </c>
      <c r="I170" s="139"/>
      <c r="J170" s="145"/>
      <c r="K170" s="139"/>
      <c r="L170" s="139"/>
      <c r="M170" s="139"/>
      <c r="N170" s="143"/>
      <c r="O170" s="143"/>
      <c r="P170" s="145"/>
      <c r="Q170" s="139"/>
      <c r="R170" s="145"/>
      <c r="S170" s="139"/>
      <c r="T170" s="145"/>
      <c r="U170" s="139"/>
      <c r="V170" s="138"/>
      <c r="W170" s="138"/>
      <c r="X170" s="138"/>
      <c r="Y170" s="139"/>
      <c r="Z170" s="138"/>
      <c r="AA170" s="139"/>
      <c r="AB170" s="138"/>
      <c r="AC170" s="139"/>
      <c r="AD170" s="138"/>
      <c r="AE170" s="139"/>
      <c r="AF170" s="138"/>
      <c r="AG170" s="139"/>
      <c r="AH170" s="138"/>
      <c r="AI170" s="138"/>
      <c r="AJ170" s="138"/>
      <c r="AK170" s="138"/>
      <c r="AL170" s="138"/>
    </row>
    <row r="171" spans="1:38" x14ac:dyDescent="0.25">
      <c r="A171" s="71"/>
      <c r="B171" s="71"/>
      <c r="C171" s="72"/>
      <c r="D171" s="72"/>
      <c r="E171" s="174" t="s">
        <v>258</v>
      </c>
      <c r="F171" s="73" t="s">
        <v>108</v>
      </c>
      <c r="G171" s="176" t="s">
        <v>160</v>
      </c>
      <c r="H171" s="178" t="s">
        <v>254</v>
      </c>
      <c r="I171" s="141"/>
      <c r="J171" s="142"/>
      <c r="K171" s="141"/>
      <c r="L171" s="141"/>
      <c r="M171" s="141"/>
      <c r="N171" s="141"/>
      <c r="O171" s="143"/>
      <c r="P171" s="145"/>
      <c r="Q171" s="139"/>
      <c r="R171" s="145"/>
      <c r="S171" s="139"/>
      <c r="T171" s="145"/>
      <c r="U171" s="139"/>
      <c r="V171" s="138"/>
      <c r="W171" s="138"/>
      <c r="X171" s="138"/>
      <c r="Y171" s="139"/>
      <c r="Z171" s="138"/>
      <c r="AA171" s="139"/>
      <c r="AB171" s="138"/>
      <c r="AC171" s="139"/>
      <c r="AD171" s="138"/>
      <c r="AE171" s="139"/>
      <c r="AF171" s="138"/>
      <c r="AG171" s="139"/>
      <c r="AH171" s="138"/>
      <c r="AI171" s="138"/>
      <c r="AJ171" s="138"/>
      <c r="AK171" s="138"/>
      <c r="AL171" s="138"/>
    </row>
    <row r="172" spans="1:38" x14ac:dyDescent="0.25">
      <c r="A172" s="71"/>
      <c r="B172" s="71"/>
      <c r="C172" s="71"/>
      <c r="M172" s="79"/>
      <c r="N172" s="79"/>
      <c r="P172" s="71"/>
      <c r="R172" s="71"/>
      <c r="S172" s="79"/>
      <c r="T172" s="71"/>
    </row>
    <row r="173" spans="1:38" x14ac:dyDescent="0.25">
      <c r="A173" s="71"/>
      <c r="B173" s="71"/>
      <c r="C173" s="71"/>
      <c r="D173" s="71"/>
      <c r="E173" s="79"/>
      <c r="F173" s="71"/>
      <c r="G173" s="79"/>
      <c r="H173" s="71"/>
      <c r="I173" s="79"/>
      <c r="J173" s="71"/>
      <c r="K173" s="79"/>
      <c r="L173" s="79"/>
      <c r="M173" s="79"/>
      <c r="N173" s="79"/>
      <c r="P173" s="71"/>
      <c r="R173" s="71"/>
      <c r="S173" s="79"/>
      <c r="T173" s="71"/>
    </row>
    <row r="174" spans="1:38" x14ac:dyDescent="0.25">
      <c r="B174" s="107" t="s">
        <v>120</v>
      </c>
      <c r="C174" s="108"/>
      <c r="D174" s="108"/>
      <c r="E174" s="153"/>
      <c r="H174" s="71"/>
      <c r="I174" s="79"/>
      <c r="J174" s="71"/>
      <c r="K174" s="79"/>
      <c r="L174" s="79"/>
      <c r="M174" s="79"/>
      <c r="N174" s="79"/>
    </row>
    <row r="175" spans="1:38" outlineLevel="1" x14ac:dyDescent="0.25">
      <c r="B175" s="83" t="s">
        <v>219</v>
      </c>
      <c r="C175" s="151" t="s">
        <v>45</v>
      </c>
      <c r="D175" s="152" t="s">
        <v>119</v>
      </c>
      <c r="E175" s="153" t="s">
        <v>221</v>
      </c>
      <c r="H175" s="71"/>
      <c r="I175" s="79"/>
      <c r="J175" s="71"/>
      <c r="K175" s="79"/>
      <c r="L175" s="79"/>
      <c r="M175" s="79"/>
      <c r="N175" s="79" t="s">
        <v>246</v>
      </c>
      <c r="Q175" s="79" t="s">
        <v>45</v>
      </c>
    </row>
    <row r="176" spans="1:38" outlineLevel="1" x14ac:dyDescent="0.25">
      <c r="B176" s="167">
        <v>1</v>
      </c>
      <c r="C176" s="168" t="s">
        <v>160</v>
      </c>
      <c r="D176" s="24" t="s">
        <v>118</v>
      </c>
      <c r="E176" s="4">
        <v>1</v>
      </c>
      <c r="G176" s="2" t="s">
        <v>244</v>
      </c>
      <c r="H176" s="71">
        <v>0</v>
      </c>
      <c r="I176" s="2">
        <v>0</v>
      </c>
      <c r="J176">
        <v>0</v>
      </c>
      <c r="K176" s="2">
        <v>0</v>
      </c>
      <c r="L176" s="2">
        <v>0</v>
      </c>
      <c r="M176" s="2" t="s">
        <v>243</v>
      </c>
      <c r="N176" s="2" t="str">
        <f>H176&amp;" "&amp;I176&amp;" "&amp;J176&amp;" "&amp;K176&amp;" "&amp;L176&amp;M176</f>
        <v>0 0 0 0 0;</v>
      </c>
      <c r="P176" t="s">
        <v>247</v>
      </c>
      <c r="Q176" s="2" t="str">
        <f>$Q$175&amp;" "&amp;B176</f>
        <v>State 1</v>
      </c>
      <c r="R176" s="1" t="s">
        <v>81</v>
      </c>
      <c r="S176" s="2" t="str">
        <f>"["&amp;H176&amp;" "&amp;I176&amp;" "&amp;J176&amp;" "&amp;K176&amp;" "&amp;L176&amp;"]"</f>
        <v>[0 0 0 0 0]</v>
      </c>
    </row>
    <row r="177" spans="2:19" outlineLevel="1" x14ac:dyDescent="0.25">
      <c r="B177" s="167">
        <v>2</v>
      </c>
      <c r="C177" s="168" t="s">
        <v>164</v>
      </c>
      <c r="D177" s="24" t="s">
        <v>118</v>
      </c>
      <c r="E177" s="4">
        <v>2</v>
      </c>
      <c r="H177" s="71">
        <v>0</v>
      </c>
      <c r="I177" s="2">
        <v>0</v>
      </c>
      <c r="J177">
        <v>0</v>
      </c>
      <c r="K177" s="2">
        <v>0</v>
      </c>
      <c r="L177" s="2">
        <v>1</v>
      </c>
      <c r="M177" s="2" t="s">
        <v>243</v>
      </c>
      <c r="N177" s="2" t="str">
        <f t="shared" ref="N177:N230" si="1">H177&amp;" "&amp;I177&amp;" "&amp;J177&amp;" "&amp;K177&amp;" "&amp;L177&amp;M177</f>
        <v>0 0 0 0 1;</v>
      </c>
      <c r="P177" t="s">
        <v>247</v>
      </c>
      <c r="Q177" s="2" t="str">
        <f t="shared" ref="Q177:Q230" si="2">$Q$175&amp;" "&amp;B177</f>
        <v>State 2</v>
      </c>
      <c r="R177" s="1" t="s">
        <v>81</v>
      </c>
      <c r="S177" s="2" t="str">
        <f t="shared" ref="S177:S230" si="3">"["&amp;H177&amp;" "&amp;I177&amp;" "&amp;J177&amp;" "&amp;K177&amp;" "&amp;L177&amp;"]"</f>
        <v>[0 0 0 0 1]</v>
      </c>
    </row>
    <row r="178" spans="2:19" outlineLevel="1" x14ac:dyDescent="0.25">
      <c r="B178" s="167">
        <v>3</v>
      </c>
      <c r="C178" s="168" t="s">
        <v>163</v>
      </c>
      <c r="D178" s="24" t="s">
        <v>118</v>
      </c>
      <c r="E178" s="4">
        <v>2</v>
      </c>
      <c r="H178" s="71">
        <v>0</v>
      </c>
      <c r="I178" s="2">
        <v>0</v>
      </c>
      <c r="J178">
        <v>1</v>
      </c>
      <c r="K178" s="2">
        <v>0</v>
      </c>
      <c r="L178" s="2">
        <v>0</v>
      </c>
      <c r="M178" s="2" t="s">
        <v>243</v>
      </c>
      <c r="N178" s="2" t="str">
        <f t="shared" si="1"/>
        <v>0 0 1 0 0;</v>
      </c>
      <c r="P178" t="s">
        <v>247</v>
      </c>
      <c r="Q178" s="2" t="str">
        <f t="shared" si="2"/>
        <v>State 3</v>
      </c>
      <c r="R178" s="1" t="s">
        <v>81</v>
      </c>
      <c r="S178" s="2" t="str">
        <f t="shared" si="3"/>
        <v>[0 0 1 0 0]</v>
      </c>
    </row>
    <row r="179" spans="2:19" outlineLevel="1" x14ac:dyDescent="0.25">
      <c r="B179" s="169">
        <v>4</v>
      </c>
      <c r="C179" s="170" t="s">
        <v>170</v>
      </c>
      <c r="D179" s="24" t="s">
        <v>118</v>
      </c>
      <c r="E179" s="4">
        <v>2</v>
      </c>
      <c r="H179" s="71">
        <v>0</v>
      </c>
      <c r="I179" s="2">
        <v>1</v>
      </c>
      <c r="J179">
        <v>1</v>
      </c>
      <c r="K179" s="2">
        <v>0</v>
      </c>
      <c r="L179" s="2">
        <v>0</v>
      </c>
      <c r="M179" s="2" t="s">
        <v>243</v>
      </c>
      <c r="N179" s="2" t="str">
        <f t="shared" si="1"/>
        <v>0 1 1 0 0;</v>
      </c>
      <c r="P179" t="s">
        <v>247</v>
      </c>
      <c r="Q179" s="2" t="str">
        <f t="shared" si="2"/>
        <v>State 4</v>
      </c>
      <c r="R179" s="1" t="s">
        <v>81</v>
      </c>
      <c r="S179" s="2" t="str">
        <f t="shared" si="3"/>
        <v>[0 1 1 0 0]</v>
      </c>
    </row>
    <row r="180" spans="2:19" outlineLevel="1" x14ac:dyDescent="0.25">
      <c r="B180" s="169">
        <v>5</v>
      </c>
      <c r="C180" s="170" t="s">
        <v>169</v>
      </c>
      <c r="D180" s="24" t="s">
        <v>118</v>
      </c>
      <c r="E180" s="4">
        <v>3</v>
      </c>
      <c r="H180" s="71">
        <v>0</v>
      </c>
      <c r="I180" s="2">
        <v>1</v>
      </c>
      <c r="J180">
        <v>0</v>
      </c>
      <c r="K180" s="2">
        <v>0</v>
      </c>
      <c r="L180" s="2">
        <v>1</v>
      </c>
      <c r="M180" s="2" t="s">
        <v>243</v>
      </c>
      <c r="N180" s="2" t="str">
        <f t="shared" si="1"/>
        <v>0 1 0 0 1;</v>
      </c>
      <c r="P180" t="s">
        <v>247</v>
      </c>
      <c r="Q180" s="2" t="str">
        <f t="shared" si="2"/>
        <v>State 5</v>
      </c>
      <c r="R180" s="1" t="s">
        <v>81</v>
      </c>
      <c r="S180" s="2" t="str">
        <f t="shared" si="3"/>
        <v>[0 1 0 0 1]</v>
      </c>
    </row>
    <row r="181" spans="2:19" outlineLevel="1" x14ac:dyDescent="0.25">
      <c r="B181" s="167">
        <v>6</v>
      </c>
      <c r="C181" s="168" t="s">
        <v>168</v>
      </c>
      <c r="D181" s="24" t="s">
        <v>118</v>
      </c>
      <c r="E181" s="4">
        <v>3</v>
      </c>
      <c r="H181" s="71">
        <v>0</v>
      </c>
      <c r="I181" s="2">
        <v>1</v>
      </c>
      <c r="J181">
        <v>0</v>
      </c>
      <c r="K181" s="2">
        <v>0</v>
      </c>
      <c r="L181" s="2">
        <v>0</v>
      </c>
      <c r="M181" s="2" t="s">
        <v>243</v>
      </c>
      <c r="N181" s="2" t="str">
        <f t="shared" si="1"/>
        <v>0 1 0 0 0;</v>
      </c>
      <c r="P181" t="s">
        <v>247</v>
      </c>
      <c r="Q181" s="2" t="str">
        <f t="shared" si="2"/>
        <v>State 6</v>
      </c>
      <c r="R181" s="1" t="s">
        <v>81</v>
      </c>
      <c r="S181" s="2" t="str">
        <f t="shared" si="3"/>
        <v>[0 1 0 0 0]</v>
      </c>
    </row>
    <row r="182" spans="2:19" outlineLevel="1" x14ac:dyDescent="0.25">
      <c r="B182" s="169">
        <v>7</v>
      </c>
      <c r="C182" s="170" t="s">
        <v>171</v>
      </c>
      <c r="D182" s="24" t="s">
        <v>118</v>
      </c>
      <c r="E182" s="4">
        <v>3</v>
      </c>
      <c r="H182" s="71">
        <v>0</v>
      </c>
      <c r="I182" s="2">
        <v>0</v>
      </c>
      <c r="J182">
        <v>1</v>
      </c>
      <c r="K182" s="2">
        <v>1</v>
      </c>
      <c r="L182" s="2">
        <v>0</v>
      </c>
      <c r="M182" s="2" t="s">
        <v>243</v>
      </c>
      <c r="N182" s="2" t="str">
        <f t="shared" si="1"/>
        <v>0 0 1 1 0;</v>
      </c>
      <c r="P182" t="s">
        <v>247</v>
      </c>
      <c r="Q182" s="2" t="str">
        <f t="shared" si="2"/>
        <v>State 7</v>
      </c>
      <c r="R182" s="1" t="s">
        <v>81</v>
      </c>
      <c r="S182" s="2" t="str">
        <f t="shared" si="3"/>
        <v>[0 0 1 1 0]</v>
      </c>
    </row>
    <row r="183" spans="2:19" outlineLevel="1" x14ac:dyDescent="0.25">
      <c r="B183" s="169">
        <v>8</v>
      </c>
      <c r="C183" s="170" t="s">
        <v>167</v>
      </c>
      <c r="D183" s="24" t="s">
        <v>118</v>
      </c>
      <c r="E183" s="4">
        <v>3</v>
      </c>
      <c r="H183" s="71">
        <v>0</v>
      </c>
      <c r="I183" s="2">
        <v>0</v>
      </c>
      <c r="J183">
        <v>0</v>
      </c>
      <c r="K183" s="2">
        <v>1</v>
      </c>
      <c r="L183" s="2">
        <v>1</v>
      </c>
      <c r="M183" s="2" t="s">
        <v>243</v>
      </c>
      <c r="N183" s="2" t="str">
        <f t="shared" si="1"/>
        <v>0 0 0 1 1;</v>
      </c>
      <c r="P183" t="s">
        <v>247</v>
      </c>
      <c r="Q183" s="2" t="str">
        <f t="shared" si="2"/>
        <v>State 8</v>
      </c>
      <c r="R183" s="1" t="s">
        <v>81</v>
      </c>
      <c r="S183" s="2" t="str">
        <f t="shared" si="3"/>
        <v>[0 0 0 1 1]</v>
      </c>
    </row>
    <row r="184" spans="2:19" outlineLevel="1" x14ac:dyDescent="0.25">
      <c r="B184" s="167">
        <v>9</v>
      </c>
      <c r="C184" s="168" t="s">
        <v>166</v>
      </c>
      <c r="D184" s="24" t="s">
        <v>118</v>
      </c>
      <c r="E184" s="4">
        <v>3</v>
      </c>
      <c r="H184" s="71">
        <v>0</v>
      </c>
      <c r="I184" s="2">
        <v>0</v>
      </c>
      <c r="J184">
        <v>0</v>
      </c>
      <c r="K184" s="2">
        <v>1</v>
      </c>
      <c r="L184" s="2">
        <v>0</v>
      </c>
      <c r="M184" s="2" t="s">
        <v>243</v>
      </c>
      <c r="N184" s="2" t="str">
        <f t="shared" si="1"/>
        <v>0 0 0 1 0;</v>
      </c>
      <c r="P184" t="s">
        <v>247</v>
      </c>
      <c r="Q184" s="2" t="str">
        <f t="shared" si="2"/>
        <v>State 9</v>
      </c>
      <c r="R184" s="1" t="s">
        <v>81</v>
      </c>
      <c r="S184" s="2" t="str">
        <f t="shared" si="3"/>
        <v>[0 0 0 1 0]</v>
      </c>
    </row>
    <row r="185" spans="2:19" outlineLevel="1" x14ac:dyDescent="0.25">
      <c r="B185" s="169">
        <v>10</v>
      </c>
      <c r="C185" s="170" t="s">
        <v>174</v>
      </c>
      <c r="D185" s="24" t="s">
        <v>118</v>
      </c>
      <c r="E185" s="4">
        <v>4</v>
      </c>
      <c r="H185" s="71">
        <v>1</v>
      </c>
      <c r="I185" s="2">
        <v>1</v>
      </c>
      <c r="J185">
        <v>1</v>
      </c>
      <c r="K185" s="2">
        <v>0</v>
      </c>
      <c r="L185" s="2">
        <v>0</v>
      </c>
      <c r="M185" s="2" t="s">
        <v>243</v>
      </c>
      <c r="N185" s="2" t="str">
        <f t="shared" si="1"/>
        <v>1 1 1 0 0;</v>
      </c>
      <c r="P185" t="s">
        <v>247</v>
      </c>
      <c r="Q185" s="2" t="str">
        <f t="shared" si="2"/>
        <v>State 10</v>
      </c>
      <c r="R185" s="1" t="s">
        <v>81</v>
      </c>
      <c r="S185" s="2" t="str">
        <f t="shared" si="3"/>
        <v>[1 1 1 0 0]</v>
      </c>
    </row>
    <row r="186" spans="2:19" outlineLevel="1" x14ac:dyDescent="0.25">
      <c r="B186" s="169">
        <v>11</v>
      </c>
      <c r="C186" s="170" t="s">
        <v>173</v>
      </c>
      <c r="D186" s="24" t="s">
        <v>118</v>
      </c>
      <c r="E186" s="4">
        <v>4</v>
      </c>
      <c r="H186" s="71">
        <v>1</v>
      </c>
      <c r="I186" s="2">
        <v>1</v>
      </c>
      <c r="J186">
        <v>0</v>
      </c>
      <c r="K186" s="2">
        <v>0</v>
      </c>
      <c r="L186" s="2">
        <v>1</v>
      </c>
      <c r="M186" s="2" t="s">
        <v>243</v>
      </c>
      <c r="N186" s="2" t="str">
        <f t="shared" si="1"/>
        <v>1 1 0 0 1;</v>
      </c>
      <c r="P186" t="s">
        <v>247</v>
      </c>
      <c r="Q186" s="2" t="str">
        <f t="shared" si="2"/>
        <v>State 11</v>
      </c>
      <c r="R186" s="1" t="s">
        <v>81</v>
      </c>
      <c r="S186" s="2" t="str">
        <f t="shared" si="3"/>
        <v>[1 1 0 0 1]</v>
      </c>
    </row>
    <row r="187" spans="2:19" outlineLevel="1" x14ac:dyDescent="0.25">
      <c r="B187" s="169">
        <v>12</v>
      </c>
      <c r="C187" s="170" t="s">
        <v>172</v>
      </c>
      <c r="D187" s="24" t="s">
        <v>118</v>
      </c>
      <c r="E187" s="4">
        <v>4</v>
      </c>
      <c r="H187" s="71">
        <v>1</v>
      </c>
      <c r="I187" s="2">
        <v>1</v>
      </c>
      <c r="J187">
        <v>0</v>
      </c>
      <c r="K187" s="2">
        <v>0</v>
      </c>
      <c r="L187" s="2">
        <v>0</v>
      </c>
      <c r="M187" s="2" t="s">
        <v>243</v>
      </c>
      <c r="N187" s="2" t="str">
        <f t="shared" si="1"/>
        <v>1 1 0 0 0;</v>
      </c>
      <c r="P187" t="s">
        <v>247</v>
      </c>
      <c r="Q187" s="2" t="str">
        <f t="shared" si="2"/>
        <v>State 12</v>
      </c>
      <c r="R187" s="1" t="s">
        <v>81</v>
      </c>
      <c r="S187" s="2" t="str">
        <f t="shared" si="3"/>
        <v>[1 1 0 0 0]</v>
      </c>
    </row>
    <row r="188" spans="2:19" outlineLevel="1" x14ac:dyDescent="0.25">
      <c r="B188" s="169">
        <v>13</v>
      </c>
      <c r="C188" s="170" t="s">
        <v>177</v>
      </c>
      <c r="D188" s="24" t="s">
        <v>118</v>
      </c>
      <c r="E188" s="4">
        <v>4</v>
      </c>
      <c r="H188" s="71">
        <v>1</v>
      </c>
      <c r="I188" s="2">
        <v>0</v>
      </c>
      <c r="J188">
        <v>1</v>
      </c>
      <c r="K188" s="2">
        <v>1</v>
      </c>
      <c r="L188" s="2">
        <v>0</v>
      </c>
      <c r="M188" s="2" t="s">
        <v>243</v>
      </c>
      <c r="N188" s="2" t="str">
        <f t="shared" si="1"/>
        <v>1 0 1 1 0;</v>
      </c>
      <c r="P188" t="s">
        <v>247</v>
      </c>
      <c r="Q188" s="2" t="str">
        <f t="shared" si="2"/>
        <v>State 13</v>
      </c>
      <c r="R188" s="1" t="s">
        <v>81</v>
      </c>
      <c r="S188" s="2" t="str">
        <f t="shared" si="3"/>
        <v>[1 0 1 1 0]</v>
      </c>
    </row>
    <row r="189" spans="2:19" outlineLevel="1" x14ac:dyDescent="0.25">
      <c r="B189" s="169">
        <v>14</v>
      </c>
      <c r="C189" s="171" t="s">
        <v>176</v>
      </c>
      <c r="D189" s="24" t="s">
        <v>118</v>
      </c>
      <c r="E189" s="4">
        <v>4</v>
      </c>
      <c r="H189">
        <v>1</v>
      </c>
      <c r="I189" s="2">
        <v>0</v>
      </c>
      <c r="J189">
        <v>0</v>
      </c>
      <c r="K189" s="2">
        <v>1</v>
      </c>
      <c r="L189" s="2">
        <v>1</v>
      </c>
      <c r="M189" s="2" t="s">
        <v>243</v>
      </c>
      <c r="N189" s="2" t="str">
        <f t="shared" si="1"/>
        <v>1 0 0 1 1;</v>
      </c>
      <c r="P189" t="s">
        <v>247</v>
      </c>
      <c r="Q189" s="2" t="str">
        <f t="shared" si="2"/>
        <v>State 14</v>
      </c>
      <c r="R189" s="1" t="s">
        <v>81</v>
      </c>
      <c r="S189" s="2" t="str">
        <f t="shared" si="3"/>
        <v>[1 0 0 1 1]</v>
      </c>
    </row>
    <row r="190" spans="2:19" outlineLevel="1" x14ac:dyDescent="0.25">
      <c r="B190" s="169">
        <v>15</v>
      </c>
      <c r="C190" s="170" t="s">
        <v>175</v>
      </c>
      <c r="D190" s="24" t="s">
        <v>118</v>
      </c>
      <c r="E190" s="4">
        <v>4</v>
      </c>
      <c r="H190" s="71">
        <v>1</v>
      </c>
      <c r="I190" s="2">
        <v>0</v>
      </c>
      <c r="J190">
        <v>0</v>
      </c>
      <c r="K190" s="2">
        <v>1</v>
      </c>
      <c r="L190" s="2">
        <v>0</v>
      </c>
      <c r="M190" s="2" t="s">
        <v>243</v>
      </c>
      <c r="N190" s="2" t="str">
        <f t="shared" si="1"/>
        <v>1 0 0 1 0;</v>
      </c>
      <c r="P190" t="s">
        <v>247</v>
      </c>
      <c r="Q190" s="2" t="str">
        <f t="shared" si="2"/>
        <v>State 15</v>
      </c>
      <c r="R190" s="1" t="s">
        <v>81</v>
      </c>
      <c r="S190" s="2" t="str">
        <f t="shared" si="3"/>
        <v>[1 0 0 1 0]</v>
      </c>
    </row>
    <row r="191" spans="2:19" outlineLevel="1" x14ac:dyDescent="0.25">
      <c r="B191" s="169">
        <v>16</v>
      </c>
      <c r="C191" s="170" t="s">
        <v>180</v>
      </c>
      <c r="D191" s="24" t="s">
        <v>118</v>
      </c>
      <c r="E191" s="4">
        <v>4</v>
      </c>
      <c r="H191" s="71">
        <v>1</v>
      </c>
      <c r="I191" s="2">
        <v>0</v>
      </c>
      <c r="J191">
        <v>1</v>
      </c>
      <c r="K191" s="2">
        <v>0</v>
      </c>
      <c r="L191" s="2">
        <v>0</v>
      </c>
      <c r="M191" s="2" t="s">
        <v>243</v>
      </c>
      <c r="N191" s="2" t="str">
        <f t="shared" si="1"/>
        <v>1 0 1 0 0;</v>
      </c>
      <c r="P191" t="s">
        <v>247</v>
      </c>
      <c r="Q191" s="2" t="str">
        <f t="shared" si="2"/>
        <v>State 16</v>
      </c>
      <c r="R191" s="1" t="s">
        <v>81</v>
      </c>
      <c r="S191" s="2" t="str">
        <f t="shared" si="3"/>
        <v>[1 0 1 0 0]</v>
      </c>
    </row>
    <row r="192" spans="2:19" outlineLevel="1" x14ac:dyDescent="0.25">
      <c r="B192" s="169">
        <v>17</v>
      </c>
      <c r="C192" s="170" t="s">
        <v>179</v>
      </c>
      <c r="D192" s="24" t="s">
        <v>118</v>
      </c>
      <c r="E192" s="4">
        <v>4</v>
      </c>
      <c r="H192" s="71">
        <v>1</v>
      </c>
      <c r="I192" s="2">
        <v>0</v>
      </c>
      <c r="J192">
        <v>0</v>
      </c>
      <c r="K192" s="2">
        <v>0</v>
      </c>
      <c r="L192" s="2">
        <v>1</v>
      </c>
      <c r="M192" s="2" t="s">
        <v>243</v>
      </c>
      <c r="N192" s="2" t="str">
        <f t="shared" si="1"/>
        <v>1 0 0 0 1;</v>
      </c>
      <c r="P192" t="s">
        <v>247</v>
      </c>
      <c r="Q192" s="2" t="str">
        <f t="shared" si="2"/>
        <v>State 17</v>
      </c>
      <c r="R192" s="1" t="s">
        <v>81</v>
      </c>
      <c r="S192" s="2" t="str">
        <f t="shared" si="3"/>
        <v>[1 0 0 0 1]</v>
      </c>
    </row>
    <row r="193" spans="2:19" outlineLevel="1" x14ac:dyDescent="0.25">
      <c r="B193" s="167">
        <v>18</v>
      </c>
      <c r="C193" s="168" t="s">
        <v>178</v>
      </c>
      <c r="D193" s="24" t="s">
        <v>118</v>
      </c>
      <c r="E193" s="4">
        <v>4</v>
      </c>
      <c r="H193" s="71">
        <v>1</v>
      </c>
      <c r="I193" s="2">
        <v>0</v>
      </c>
      <c r="J193">
        <v>0</v>
      </c>
      <c r="K193" s="2">
        <v>0</v>
      </c>
      <c r="L193" s="2">
        <v>0</v>
      </c>
      <c r="M193" s="2" t="s">
        <v>243</v>
      </c>
      <c r="N193" s="2" t="str">
        <f t="shared" si="1"/>
        <v>1 0 0 0 0;</v>
      </c>
      <c r="P193" t="s">
        <v>247</v>
      </c>
      <c r="Q193" s="2" t="str">
        <f t="shared" si="2"/>
        <v>State 18</v>
      </c>
      <c r="R193" s="1" t="s">
        <v>81</v>
      </c>
      <c r="S193" s="2" t="str">
        <f t="shared" si="3"/>
        <v>[1 0 0 0 0]</v>
      </c>
    </row>
    <row r="194" spans="2:19" outlineLevel="1" x14ac:dyDescent="0.25">
      <c r="B194" s="169">
        <v>19</v>
      </c>
      <c r="C194" s="170" t="s">
        <v>182</v>
      </c>
      <c r="D194" s="24" t="s">
        <v>118</v>
      </c>
      <c r="E194" s="4">
        <v>4</v>
      </c>
      <c r="H194" s="71">
        <v>0</v>
      </c>
      <c r="I194" s="2">
        <v>1</v>
      </c>
      <c r="J194">
        <v>2</v>
      </c>
      <c r="K194" s="2">
        <v>0</v>
      </c>
      <c r="L194" s="2">
        <v>0</v>
      </c>
      <c r="M194" s="2" t="s">
        <v>243</v>
      </c>
      <c r="N194" s="2" t="str">
        <f t="shared" si="1"/>
        <v>0 1 2 0 0;</v>
      </c>
      <c r="P194" t="s">
        <v>247</v>
      </c>
      <c r="Q194" s="2" t="str">
        <f t="shared" si="2"/>
        <v>State 19</v>
      </c>
      <c r="R194" s="1" t="s">
        <v>81</v>
      </c>
      <c r="S194" s="2" t="str">
        <f t="shared" si="3"/>
        <v>[0 1 2 0 0]</v>
      </c>
    </row>
    <row r="195" spans="2:19" outlineLevel="1" x14ac:dyDescent="0.25">
      <c r="B195" s="169">
        <v>20</v>
      </c>
      <c r="C195" s="170" t="s">
        <v>181</v>
      </c>
      <c r="D195" s="24" t="s">
        <v>118</v>
      </c>
      <c r="E195" s="4">
        <v>4</v>
      </c>
      <c r="H195" s="71">
        <v>0</v>
      </c>
      <c r="I195" s="2">
        <v>1</v>
      </c>
      <c r="J195">
        <v>1</v>
      </c>
      <c r="K195" s="2">
        <v>0</v>
      </c>
      <c r="L195" s="2">
        <v>1</v>
      </c>
      <c r="M195" s="2" t="s">
        <v>243</v>
      </c>
      <c r="N195" s="2" t="str">
        <f t="shared" si="1"/>
        <v>0 1 1 0 1;</v>
      </c>
      <c r="P195" t="s">
        <v>247</v>
      </c>
      <c r="Q195" s="2" t="str">
        <f t="shared" si="2"/>
        <v>State 20</v>
      </c>
      <c r="R195" s="1" t="s">
        <v>81</v>
      </c>
      <c r="S195" s="2" t="str">
        <f t="shared" si="3"/>
        <v>[0 1 1 0 1]</v>
      </c>
    </row>
    <row r="196" spans="2:19" outlineLevel="1" x14ac:dyDescent="0.25">
      <c r="B196" s="169">
        <v>21</v>
      </c>
      <c r="C196" s="170" t="s">
        <v>184</v>
      </c>
      <c r="D196" s="24" t="s">
        <v>118</v>
      </c>
      <c r="E196" s="4">
        <v>4</v>
      </c>
      <c r="H196" s="71">
        <v>0</v>
      </c>
      <c r="I196" s="2">
        <v>0</v>
      </c>
      <c r="J196">
        <v>2</v>
      </c>
      <c r="K196" s="2">
        <v>1</v>
      </c>
      <c r="L196" s="2">
        <v>0</v>
      </c>
      <c r="M196" s="2" t="s">
        <v>243</v>
      </c>
      <c r="N196" s="2" t="str">
        <f t="shared" si="1"/>
        <v>0 0 2 1 0;</v>
      </c>
      <c r="P196" t="s">
        <v>247</v>
      </c>
      <c r="Q196" s="2" t="str">
        <f t="shared" si="2"/>
        <v>State 21</v>
      </c>
      <c r="R196" s="1" t="s">
        <v>81</v>
      </c>
      <c r="S196" s="2" t="str">
        <f t="shared" si="3"/>
        <v>[0 0 2 1 0]</v>
      </c>
    </row>
    <row r="197" spans="2:19" outlineLevel="1" x14ac:dyDescent="0.25">
      <c r="B197" s="169">
        <v>22</v>
      </c>
      <c r="C197" s="170" t="s">
        <v>183</v>
      </c>
      <c r="D197" s="24" t="s">
        <v>118</v>
      </c>
      <c r="E197" s="4">
        <v>4</v>
      </c>
      <c r="H197" s="71">
        <v>0</v>
      </c>
      <c r="I197" s="2">
        <v>0</v>
      </c>
      <c r="J197">
        <v>1</v>
      </c>
      <c r="K197" s="2">
        <v>1</v>
      </c>
      <c r="L197" s="2">
        <v>1</v>
      </c>
      <c r="M197" s="2" t="s">
        <v>243</v>
      </c>
      <c r="N197" s="2" t="str">
        <f t="shared" si="1"/>
        <v>0 0 1 1 1;</v>
      </c>
      <c r="P197" t="s">
        <v>247</v>
      </c>
      <c r="Q197" s="2" t="str">
        <f t="shared" si="2"/>
        <v>State 22</v>
      </c>
      <c r="R197" s="1" t="s">
        <v>81</v>
      </c>
      <c r="S197" s="2" t="str">
        <f t="shared" si="3"/>
        <v>[0 0 1 1 1]</v>
      </c>
    </row>
    <row r="198" spans="2:19" outlineLevel="1" x14ac:dyDescent="0.25">
      <c r="B198" s="169">
        <v>23</v>
      </c>
      <c r="C198" s="170" t="s">
        <v>186</v>
      </c>
      <c r="D198" s="24" t="s">
        <v>118</v>
      </c>
      <c r="E198" s="4">
        <v>4</v>
      </c>
      <c r="H198" s="71">
        <v>0</v>
      </c>
      <c r="I198" s="2">
        <v>0</v>
      </c>
      <c r="J198">
        <v>2</v>
      </c>
      <c r="K198" s="2">
        <v>0</v>
      </c>
      <c r="L198" s="2">
        <v>0</v>
      </c>
      <c r="M198" s="2" t="s">
        <v>243</v>
      </c>
      <c r="N198" s="2" t="str">
        <f t="shared" si="1"/>
        <v>0 0 2 0 0;</v>
      </c>
      <c r="P198" t="s">
        <v>247</v>
      </c>
      <c r="Q198" s="2" t="str">
        <f t="shared" si="2"/>
        <v>State 23</v>
      </c>
      <c r="R198" s="1" t="s">
        <v>81</v>
      </c>
      <c r="S198" s="2" t="str">
        <f t="shared" si="3"/>
        <v>[0 0 2 0 0]</v>
      </c>
    </row>
    <row r="199" spans="2:19" outlineLevel="1" x14ac:dyDescent="0.25">
      <c r="B199" s="169">
        <v>24</v>
      </c>
      <c r="C199" s="170" t="s">
        <v>185</v>
      </c>
      <c r="D199" s="24" t="s">
        <v>118</v>
      </c>
      <c r="E199" s="4">
        <v>4</v>
      </c>
      <c r="H199" s="71">
        <v>0</v>
      </c>
      <c r="I199" s="2">
        <v>0</v>
      </c>
      <c r="J199">
        <v>1</v>
      </c>
      <c r="K199" s="2">
        <v>0</v>
      </c>
      <c r="L199" s="2">
        <v>1</v>
      </c>
      <c r="M199" s="2" t="s">
        <v>243</v>
      </c>
      <c r="N199" s="2" t="str">
        <f t="shared" si="1"/>
        <v>0 0 1 0 1;</v>
      </c>
      <c r="P199" t="s">
        <v>247</v>
      </c>
      <c r="Q199" s="2" t="str">
        <f t="shared" si="2"/>
        <v>State 24</v>
      </c>
      <c r="R199" s="1" t="s">
        <v>81</v>
      </c>
      <c r="S199" s="2" t="str">
        <f t="shared" si="3"/>
        <v>[0 0 1 0 1]</v>
      </c>
    </row>
    <row r="200" spans="2:19" hidden="1" outlineLevel="1" x14ac:dyDescent="0.25">
      <c r="B200" s="77">
        <v>25</v>
      </c>
      <c r="C200" s="71" t="s">
        <v>196</v>
      </c>
      <c r="D200" t="s">
        <v>218</v>
      </c>
      <c r="E200" s="4">
        <v>9</v>
      </c>
      <c r="H200" s="71">
        <v>1</v>
      </c>
      <c r="I200" s="2">
        <v>2</v>
      </c>
      <c r="J200">
        <v>1</v>
      </c>
      <c r="K200" s="2">
        <v>0</v>
      </c>
      <c r="L200" s="2">
        <v>0</v>
      </c>
      <c r="M200" s="2" t="s">
        <v>243</v>
      </c>
      <c r="N200" s="2" t="str">
        <f t="shared" si="1"/>
        <v>1 2 1 0 0;</v>
      </c>
      <c r="P200" t="s">
        <v>247</v>
      </c>
      <c r="Q200" s="2" t="str">
        <f t="shared" si="2"/>
        <v>State 25</v>
      </c>
      <c r="R200" s="1" t="s">
        <v>81</v>
      </c>
      <c r="S200" s="2" t="str">
        <f t="shared" si="3"/>
        <v>[1 2 1 0 0]</v>
      </c>
    </row>
    <row r="201" spans="2:19" hidden="1" outlineLevel="1" x14ac:dyDescent="0.25">
      <c r="B201" s="77">
        <v>26</v>
      </c>
      <c r="C201" s="71" t="s">
        <v>197</v>
      </c>
      <c r="D201" t="s">
        <v>218</v>
      </c>
      <c r="E201" s="4">
        <v>9</v>
      </c>
      <c r="H201" s="71">
        <v>1</v>
      </c>
      <c r="I201" s="2">
        <v>2</v>
      </c>
      <c r="J201">
        <v>0</v>
      </c>
      <c r="K201" s="2">
        <v>0</v>
      </c>
      <c r="L201" s="2">
        <v>1</v>
      </c>
      <c r="M201" s="2" t="s">
        <v>243</v>
      </c>
      <c r="N201" s="2" t="str">
        <f t="shared" si="1"/>
        <v>1 2 0 0 1;</v>
      </c>
      <c r="P201" t="s">
        <v>247</v>
      </c>
      <c r="Q201" s="2" t="str">
        <f t="shared" si="2"/>
        <v>State 26</v>
      </c>
      <c r="R201" s="1" t="s">
        <v>81</v>
      </c>
      <c r="S201" s="2" t="str">
        <f t="shared" si="3"/>
        <v>[1 2 0 0 1]</v>
      </c>
    </row>
    <row r="202" spans="2:19" outlineLevel="1" x14ac:dyDescent="0.25">
      <c r="B202" s="169">
        <v>25</v>
      </c>
      <c r="C202" s="170" t="s">
        <v>187</v>
      </c>
      <c r="D202" s="24" t="s">
        <v>118</v>
      </c>
      <c r="E202" s="4">
        <v>9</v>
      </c>
      <c r="H202" s="71">
        <v>1</v>
      </c>
      <c r="I202" s="2">
        <v>2</v>
      </c>
      <c r="J202">
        <v>0</v>
      </c>
      <c r="K202" s="2">
        <v>0</v>
      </c>
      <c r="L202" s="2">
        <v>0</v>
      </c>
      <c r="M202" s="2" t="s">
        <v>243</v>
      </c>
      <c r="N202" s="2" t="str">
        <f t="shared" si="1"/>
        <v>1 2 0 0 0;</v>
      </c>
      <c r="P202" t="s">
        <v>247</v>
      </c>
      <c r="Q202" s="2" t="str">
        <f t="shared" si="2"/>
        <v>State 25</v>
      </c>
      <c r="R202" s="1" t="s">
        <v>81</v>
      </c>
      <c r="S202" s="2" t="str">
        <f t="shared" si="3"/>
        <v>[1 2 0 0 0]</v>
      </c>
    </row>
    <row r="203" spans="2:19" hidden="1" outlineLevel="1" x14ac:dyDescent="0.25">
      <c r="B203" s="77">
        <v>28</v>
      </c>
      <c r="C203" s="71" t="s">
        <v>194</v>
      </c>
      <c r="D203" t="s">
        <v>218</v>
      </c>
      <c r="E203" s="4">
        <v>9</v>
      </c>
      <c r="H203" s="71">
        <v>1</v>
      </c>
      <c r="I203" s="2">
        <v>1</v>
      </c>
      <c r="J203">
        <v>1</v>
      </c>
      <c r="K203" s="2">
        <v>1</v>
      </c>
      <c r="L203" s="2">
        <v>0</v>
      </c>
      <c r="M203" s="2" t="s">
        <v>243</v>
      </c>
      <c r="N203" s="2" t="str">
        <f t="shared" si="1"/>
        <v>1 1 1 1 0;</v>
      </c>
      <c r="P203" t="s">
        <v>247</v>
      </c>
      <c r="Q203" s="2" t="str">
        <f t="shared" si="2"/>
        <v>State 28</v>
      </c>
      <c r="R203" s="1" t="s">
        <v>81</v>
      </c>
      <c r="S203" s="2" t="str">
        <f t="shared" si="3"/>
        <v>[1 1 1 1 0]</v>
      </c>
    </row>
    <row r="204" spans="2:19" hidden="1" outlineLevel="1" x14ac:dyDescent="0.25">
      <c r="B204" s="77">
        <v>29</v>
      </c>
      <c r="C204" s="71" t="s">
        <v>195</v>
      </c>
      <c r="D204" t="s">
        <v>218</v>
      </c>
      <c r="E204" s="4">
        <v>9</v>
      </c>
      <c r="H204" s="71">
        <v>1</v>
      </c>
      <c r="I204" s="2">
        <v>1</v>
      </c>
      <c r="J204">
        <v>0</v>
      </c>
      <c r="K204" s="2">
        <v>1</v>
      </c>
      <c r="L204" s="2">
        <v>1</v>
      </c>
      <c r="M204" s="2" t="s">
        <v>243</v>
      </c>
      <c r="N204" s="2" t="str">
        <f t="shared" si="1"/>
        <v>1 1 0 1 1;</v>
      </c>
      <c r="P204" t="s">
        <v>247</v>
      </c>
      <c r="Q204" s="2" t="str">
        <f t="shared" si="2"/>
        <v>State 29</v>
      </c>
      <c r="R204" s="1" t="s">
        <v>81</v>
      </c>
      <c r="S204" s="2" t="str">
        <f t="shared" si="3"/>
        <v>[1 1 0 1 1]</v>
      </c>
    </row>
    <row r="205" spans="2:19" outlineLevel="1" x14ac:dyDescent="0.25">
      <c r="B205" s="169">
        <v>26</v>
      </c>
      <c r="C205" s="170" t="s">
        <v>188</v>
      </c>
      <c r="D205" s="24" t="s">
        <v>118</v>
      </c>
      <c r="E205" s="4">
        <v>9</v>
      </c>
      <c r="H205" s="71">
        <v>1</v>
      </c>
      <c r="I205" s="2">
        <v>1</v>
      </c>
      <c r="J205">
        <v>0</v>
      </c>
      <c r="K205" s="2">
        <v>1</v>
      </c>
      <c r="L205" s="2">
        <v>0</v>
      </c>
      <c r="M205" s="2" t="s">
        <v>243</v>
      </c>
      <c r="N205" s="2" t="str">
        <f t="shared" si="1"/>
        <v>1 1 0 1 0;</v>
      </c>
      <c r="P205" t="s">
        <v>247</v>
      </c>
      <c r="Q205" s="2" t="str">
        <f t="shared" si="2"/>
        <v>State 26</v>
      </c>
      <c r="R205" s="1" t="s">
        <v>81</v>
      </c>
      <c r="S205" s="2" t="str">
        <f t="shared" si="3"/>
        <v>[1 1 0 1 0]</v>
      </c>
    </row>
    <row r="206" spans="2:19" outlineLevel="1" x14ac:dyDescent="0.25">
      <c r="B206" s="169">
        <v>27</v>
      </c>
      <c r="C206" s="171" t="s">
        <v>203</v>
      </c>
      <c r="D206" s="24" t="s">
        <v>118</v>
      </c>
      <c r="E206" s="4">
        <v>10</v>
      </c>
      <c r="H206">
        <v>2</v>
      </c>
      <c r="I206" s="2">
        <v>0</v>
      </c>
      <c r="J206">
        <v>1</v>
      </c>
      <c r="K206" s="2">
        <v>0</v>
      </c>
      <c r="L206" s="2">
        <v>0</v>
      </c>
      <c r="M206" s="2" t="s">
        <v>243</v>
      </c>
      <c r="N206" s="2" t="str">
        <f t="shared" si="1"/>
        <v>2 0 1 0 0;</v>
      </c>
      <c r="P206" t="s">
        <v>247</v>
      </c>
      <c r="Q206" s="2" t="str">
        <f t="shared" si="2"/>
        <v>State 27</v>
      </c>
      <c r="R206" s="1" t="s">
        <v>81</v>
      </c>
      <c r="S206" s="2" t="str">
        <f t="shared" si="3"/>
        <v>[2 0 1 0 0]</v>
      </c>
    </row>
    <row r="207" spans="2:19" outlineLevel="1" x14ac:dyDescent="0.25">
      <c r="B207" s="169">
        <v>28</v>
      </c>
      <c r="C207" s="171" t="s">
        <v>202</v>
      </c>
      <c r="D207" s="24" t="s">
        <v>118</v>
      </c>
      <c r="E207" s="4">
        <v>10</v>
      </c>
      <c r="H207">
        <v>2</v>
      </c>
      <c r="I207" s="2">
        <v>0</v>
      </c>
      <c r="J207">
        <v>0</v>
      </c>
      <c r="K207" s="2">
        <v>0</v>
      </c>
      <c r="L207" s="2">
        <v>1</v>
      </c>
      <c r="M207" s="2" t="s">
        <v>243</v>
      </c>
      <c r="N207" s="2" t="str">
        <f t="shared" si="1"/>
        <v>2 0 0 0 1;</v>
      </c>
      <c r="P207" t="s">
        <v>247</v>
      </c>
      <c r="Q207" s="2" t="str">
        <f t="shared" si="2"/>
        <v>State 28</v>
      </c>
      <c r="R207" s="1" t="s">
        <v>81</v>
      </c>
      <c r="S207" s="2" t="str">
        <f t="shared" si="3"/>
        <v>[2 0 0 0 1]</v>
      </c>
    </row>
    <row r="208" spans="2:19" outlineLevel="1" x14ac:dyDescent="0.25">
      <c r="B208" s="169">
        <v>29</v>
      </c>
      <c r="C208" s="171" t="s">
        <v>201</v>
      </c>
      <c r="D208" s="24" t="s">
        <v>118</v>
      </c>
      <c r="E208" s="4">
        <v>10</v>
      </c>
      <c r="H208">
        <v>2</v>
      </c>
      <c r="I208" s="2">
        <v>0</v>
      </c>
      <c r="J208">
        <v>0</v>
      </c>
      <c r="K208" s="2">
        <v>0</v>
      </c>
      <c r="L208" s="2">
        <v>0</v>
      </c>
      <c r="M208" s="2" t="s">
        <v>243</v>
      </c>
      <c r="N208" s="2" t="str">
        <f t="shared" si="1"/>
        <v>2 0 0 0 0;</v>
      </c>
      <c r="P208" t="s">
        <v>247</v>
      </c>
      <c r="Q208" s="2" t="str">
        <f t="shared" si="2"/>
        <v>State 29</v>
      </c>
      <c r="R208" s="1" t="s">
        <v>81</v>
      </c>
      <c r="S208" s="2" t="str">
        <f t="shared" si="3"/>
        <v>[2 0 0 0 0]</v>
      </c>
    </row>
    <row r="209" spans="2:19" outlineLevel="1" x14ac:dyDescent="0.25">
      <c r="B209" s="169">
        <v>30</v>
      </c>
      <c r="C209" s="171" t="s">
        <v>199</v>
      </c>
      <c r="D209" s="24" t="s">
        <v>118</v>
      </c>
      <c r="E209" s="4">
        <v>10</v>
      </c>
      <c r="H209">
        <v>1</v>
      </c>
      <c r="I209" s="2">
        <v>0</v>
      </c>
      <c r="J209">
        <v>2</v>
      </c>
      <c r="K209" s="2">
        <v>0</v>
      </c>
      <c r="L209" s="2">
        <v>0</v>
      </c>
      <c r="M209" s="2" t="s">
        <v>243</v>
      </c>
      <c r="N209" s="2" t="str">
        <f t="shared" si="1"/>
        <v>1 0 2 0 0;</v>
      </c>
      <c r="P209" t="s">
        <v>247</v>
      </c>
      <c r="Q209" s="2" t="str">
        <f t="shared" si="2"/>
        <v>State 30</v>
      </c>
      <c r="R209" s="1" t="s">
        <v>81</v>
      </c>
      <c r="S209" s="2" t="str">
        <f t="shared" si="3"/>
        <v>[1 0 2 0 0]</v>
      </c>
    </row>
    <row r="210" spans="2:19" outlineLevel="1" x14ac:dyDescent="0.25">
      <c r="B210" s="169">
        <v>31</v>
      </c>
      <c r="C210" s="171" t="s">
        <v>198</v>
      </c>
      <c r="D210" s="24" t="s">
        <v>118</v>
      </c>
      <c r="E210" s="4">
        <v>10</v>
      </c>
      <c r="H210">
        <v>1</v>
      </c>
      <c r="I210" s="2">
        <v>0</v>
      </c>
      <c r="J210">
        <v>1</v>
      </c>
      <c r="K210" s="2">
        <v>0</v>
      </c>
      <c r="L210" s="2">
        <v>1</v>
      </c>
      <c r="M210" s="2" t="s">
        <v>243</v>
      </c>
      <c r="N210" s="2" t="str">
        <f t="shared" si="1"/>
        <v>1 0 1 0 1;</v>
      </c>
      <c r="P210" t="s">
        <v>247</v>
      </c>
      <c r="Q210" s="2" t="str">
        <f t="shared" si="2"/>
        <v>State 31</v>
      </c>
      <c r="R210" s="1" t="s">
        <v>81</v>
      </c>
      <c r="S210" s="2" t="str">
        <f t="shared" si="3"/>
        <v>[1 0 1 0 1]</v>
      </c>
    </row>
    <row r="211" spans="2:19" outlineLevel="1" x14ac:dyDescent="0.25">
      <c r="B211" s="169">
        <v>32</v>
      </c>
      <c r="C211" s="170" t="s">
        <v>189</v>
      </c>
      <c r="D211" s="24" t="s">
        <v>118</v>
      </c>
      <c r="E211" s="4">
        <v>11</v>
      </c>
      <c r="H211" s="71">
        <v>0</v>
      </c>
      <c r="I211" s="2">
        <v>2</v>
      </c>
      <c r="J211">
        <v>1</v>
      </c>
      <c r="K211" s="2">
        <v>0</v>
      </c>
      <c r="L211" s="2">
        <v>0</v>
      </c>
      <c r="M211" s="2" t="s">
        <v>243</v>
      </c>
      <c r="N211" s="2" t="str">
        <f t="shared" si="1"/>
        <v>0 2 1 0 0;</v>
      </c>
      <c r="P211" t="s">
        <v>247</v>
      </c>
      <c r="Q211" s="2" t="str">
        <f t="shared" si="2"/>
        <v>State 32</v>
      </c>
      <c r="R211" s="1" t="s">
        <v>81</v>
      </c>
      <c r="S211" s="2" t="str">
        <f t="shared" si="3"/>
        <v>[0 2 1 0 0]</v>
      </c>
    </row>
    <row r="212" spans="2:19" outlineLevel="1" x14ac:dyDescent="0.25">
      <c r="B212" s="169">
        <v>33</v>
      </c>
      <c r="C212" s="170" t="s">
        <v>200</v>
      </c>
      <c r="D212" s="24" t="s">
        <v>118</v>
      </c>
      <c r="E212" s="4">
        <v>11</v>
      </c>
      <c r="H212" s="71">
        <v>0</v>
      </c>
      <c r="I212" s="2">
        <v>2</v>
      </c>
      <c r="J212">
        <v>0</v>
      </c>
      <c r="K212" s="2">
        <v>0</v>
      </c>
      <c r="L212" s="2">
        <v>1</v>
      </c>
      <c r="M212" s="2" t="s">
        <v>243</v>
      </c>
      <c r="N212" s="2" t="str">
        <f t="shared" si="1"/>
        <v>0 2 0 0 1;</v>
      </c>
      <c r="P212" t="s">
        <v>247</v>
      </c>
      <c r="Q212" s="2" t="str">
        <f t="shared" si="2"/>
        <v>State 33</v>
      </c>
      <c r="R212" s="1" t="s">
        <v>81</v>
      </c>
      <c r="S212" s="2" t="str">
        <f t="shared" si="3"/>
        <v>[0 2 0 0 1]</v>
      </c>
    </row>
    <row r="213" spans="2:19" outlineLevel="1" x14ac:dyDescent="0.25">
      <c r="B213" s="169">
        <v>34</v>
      </c>
      <c r="C213" s="170" t="s">
        <v>191</v>
      </c>
      <c r="D213" s="24" t="s">
        <v>118</v>
      </c>
      <c r="E213" s="4">
        <v>11</v>
      </c>
      <c r="H213" s="71">
        <v>0</v>
      </c>
      <c r="I213" s="2">
        <v>2</v>
      </c>
      <c r="J213">
        <v>0</v>
      </c>
      <c r="K213" s="2">
        <v>0</v>
      </c>
      <c r="L213" s="2">
        <v>0</v>
      </c>
      <c r="M213" s="2" t="s">
        <v>243</v>
      </c>
      <c r="N213" s="2" t="str">
        <f t="shared" si="1"/>
        <v>0 2 0 0 0;</v>
      </c>
      <c r="P213" t="s">
        <v>247</v>
      </c>
      <c r="Q213" s="2" t="str">
        <f t="shared" si="2"/>
        <v>State 34</v>
      </c>
      <c r="R213" s="1" t="s">
        <v>81</v>
      </c>
      <c r="S213" s="2" t="str">
        <f t="shared" si="3"/>
        <v>[0 2 0 0 0]</v>
      </c>
    </row>
    <row r="214" spans="2:19" outlineLevel="1" x14ac:dyDescent="0.25">
      <c r="B214" s="169">
        <v>35</v>
      </c>
      <c r="C214" s="170" t="s">
        <v>190</v>
      </c>
      <c r="D214" s="24" t="s">
        <v>118</v>
      </c>
      <c r="E214" s="4">
        <v>11</v>
      </c>
      <c r="H214" s="71">
        <v>0</v>
      </c>
      <c r="I214" s="2">
        <v>1</v>
      </c>
      <c r="J214">
        <v>1</v>
      </c>
      <c r="K214" s="2">
        <v>1</v>
      </c>
      <c r="L214" s="2">
        <v>0</v>
      </c>
      <c r="M214" s="2" t="s">
        <v>243</v>
      </c>
      <c r="N214" s="2" t="str">
        <f t="shared" si="1"/>
        <v>0 1 1 1 0;</v>
      </c>
      <c r="P214" t="s">
        <v>247</v>
      </c>
      <c r="Q214" s="2" t="str">
        <f t="shared" si="2"/>
        <v>State 35</v>
      </c>
      <c r="R214" s="1" t="s">
        <v>81</v>
      </c>
      <c r="S214" s="2" t="str">
        <f t="shared" si="3"/>
        <v>[0 1 1 1 0]</v>
      </c>
    </row>
    <row r="215" spans="2:19" outlineLevel="1" x14ac:dyDescent="0.25">
      <c r="B215" s="169">
        <v>36</v>
      </c>
      <c r="C215" s="170" t="s">
        <v>193</v>
      </c>
      <c r="D215" s="24" t="s">
        <v>118</v>
      </c>
      <c r="E215" s="4">
        <v>11</v>
      </c>
      <c r="H215" s="71">
        <v>0</v>
      </c>
      <c r="I215" s="2">
        <v>1</v>
      </c>
      <c r="J215">
        <v>0</v>
      </c>
      <c r="K215" s="2">
        <v>1</v>
      </c>
      <c r="L215" s="2">
        <v>1</v>
      </c>
      <c r="M215" s="2" t="s">
        <v>243</v>
      </c>
      <c r="N215" s="2" t="str">
        <f t="shared" si="1"/>
        <v>0 1 0 1 1;</v>
      </c>
      <c r="P215" t="s">
        <v>247</v>
      </c>
      <c r="Q215" s="2" t="str">
        <f t="shared" si="2"/>
        <v>State 36</v>
      </c>
      <c r="R215" s="1" t="s">
        <v>81</v>
      </c>
      <c r="S215" s="2" t="str">
        <f t="shared" si="3"/>
        <v>[0 1 0 1 1]</v>
      </c>
    </row>
    <row r="216" spans="2:19" outlineLevel="1" x14ac:dyDescent="0.25">
      <c r="B216" s="169">
        <v>37</v>
      </c>
      <c r="C216" s="170" t="s">
        <v>192</v>
      </c>
      <c r="D216" s="24" t="s">
        <v>118</v>
      </c>
      <c r="E216" s="4">
        <v>11</v>
      </c>
      <c r="H216" s="71">
        <v>0</v>
      </c>
      <c r="I216" s="2">
        <v>1</v>
      </c>
      <c r="J216">
        <v>0</v>
      </c>
      <c r="K216" s="2">
        <v>1</v>
      </c>
      <c r="L216" s="2">
        <v>0</v>
      </c>
      <c r="M216" s="2" t="s">
        <v>243</v>
      </c>
      <c r="N216" s="2" t="str">
        <f t="shared" si="1"/>
        <v>0 1 0 1 0;</v>
      </c>
      <c r="P216" t="s">
        <v>247</v>
      </c>
      <c r="Q216" s="2" t="str">
        <f t="shared" si="2"/>
        <v>State 37</v>
      </c>
      <c r="R216" s="1" t="s">
        <v>81</v>
      </c>
      <c r="S216" s="2" t="str">
        <f t="shared" si="3"/>
        <v>[0 1 0 1 0]</v>
      </c>
    </row>
    <row r="217" spans="2:19" hidden="1" outlineLevel="1" x14ac:dyDescent="0.25">
      <c r="B217" s="160">
        <v>42</v>
      </c>
      <c r="C217" s="161" t="s">
        <v>205</v>
      </c>
      <c r="D217" s="162" t="s">
        <v>218</v>
      </c>
      <c r="E217" s="163">
        <v>14</v>
      </c>
      <c r="H217" s="71">
        <v>0</v>
      </c>
      <c r="I217" s="2">
        <v>2</v>
      </c>
      <c r="J217">
        <v>2</v>
      </c>
      <c r="K217" s="2">
        <v>0</v>
      </c>
      <c r="L217" s="2">
        <v>0</v>
      </c>
      <c r="M217" s="2" t="s">
        <v>243</v>
      </c>
      <c r="N217" s="2" t="str">
        <f t="shared" si="1"/>
        <v>0 2 2 0 0;</v>
      </c>
      <c r="P217" t="s">
        <v>247</v>
      </c>
      <c r="Q217" s="2" t="str">
        <f t="shared" si="2"/>
        <v>State 42</v>
      </c>
      <c r="R217" s="1" t="s">
        <v>81</v>
      </c>
      <c r="S217" s="2" t="str">
        <f t="shared" si="3"/>
        <v>[0 2 2 0 0]</v>
      </c>
    </row>
    <row r="218" spans="2:19" hidden="1" outlineLevel="1" x14ac:dyDescent="0.25">
      <c r="B218" s="160">
        <v>43</v>
      </c>
      <c r="C218" s="161" t="s">
        <v>204</v>
      </c>
      <c r="D218" s="162" t="s">
        <v>218</v>
      </c>
      <c r="E218" s="163">
        <v>14</v>
      </c>
      <c r="H218" s="71">
        <v>0</v>
      </c>
      <c r="I218" s="2">
        <v>2</v>
      </c>
      <c r="J218">
        <v>1</v>
      </c>
      <c r="K218" s="2">
        <v>0</v>
      </c>
      <c r="L218" s="2">
        <v>1</v>
      </c>
      <c r="M218" s="2" t="s">
        <v>243</v>
      </c>
      <c r="N218" s="2" t="str">
        <f t="shared" si="1"/>
        <v>0 2 1 0 1;</v>
      </c>
      <c r="P218" t="s">
        <v>247</v>
      </c>
      <c r="Q218" s="2" t="str">
        <f t="shared" si="2"/>
        <v>State 43</v>
      </c>
      <c r="R218" s="1" t="s">
        <v>81</v>
      </c>
      <c r="S218" s="2" t="str">
        <f t="shared" si="3"/>
        <v>[0 2 1 0 1]</v>
      </c>
    </row>
    <row r="219" spans="2:19" hidden="1" outlineLevel="1" x14ac:dyDescent="0.25">
      <c r="B219" s="77">
        <v>44</v>
      </c>
      <c r="C219" s="71" t="s">
        <v>209</v>
      </c>
      <c r="D219" t="s">
        <v>218</v>
      </c>
      <c r="E219" s="4">
        <v>14</v>
      </c>
      <c r="H219" s="71">
        <v>0</v>
      </c>
      <c r="I219" s="2">
        <v>1</v>
      </c>
      <c r="J219">
        <v>2</v>
      </c>
      <c r="K219" s="2">
        <v>1</v>
      </c>
      <c r="L219" s="2">
        <v>0</v>
      </c>
      <c r="M219" s="2" t="s">
        <v>243</v>
      </c>
      <c r="N219" s="2" t="str">
        <f t="shared" si="1"/>
        <v>0 1 2 1 0;</v>
      </c>
      <c r="P219" t="s">
        <v>247</v>
      </c>
      <c r="Q219" s="2" t="str">
        <f t="shared" si="2"/>
        <v>State 44</v>
      </c>
      <c r="R219" s="1" t="s">
        <v>81</v>
      </c>
      <c r="S219" s="2" t="str">
        <f t="shared" si="3"/>
        <v>[0 1 2 1 0]</v>
      </c>
    </row>
    <row r="220" spans="2:19" hidden="1" outlineLevel="1" x14ac:dyDescent="0.25">
      <c r="B220" s="77">
        <v>45</v>
      </c>
      <c r="C220" s="71" t="s">
        <v>210</v>
      </c>
      <c r="D220" t="s">
        <v>218</v>
      </c>
      <c r="E220" s="4">
        <v>14</v>
      </c>
      <c r="H220" s="71">
        <v>0</v>
      </c>
      <c r="I220" s="2">
        <v>1</v>
      </c>
      <c r="J220">
        <v>1</v>
      </c>
      <c r="K220" s="2">
        <v>1</v>
      </c>
      <c r="L220" s="2">
        <v>1</v>
      </c>
      <c r="M220" s="2" t="s">
        <v>243</v>
      </c>
      <c r="N220" s="2" t="str">
        <f t="shared" si="1"/>
        <v>0 1 1 1 1;</v>
      </c>
      <c r="P220" t="s">
        <v>247</v>
      </c>
      <c r="Q220" s="2" t="str">
        <f t="shared" si="2"/>
        <v>State 45</v>
      </c>
      <c r="R220" s="1" t="s">
        <v>81</v>
      </c>
      <c r="S220" s="2" t="str">
        <f t="shared" si="3"/>
        <v>[0 1 1 1 1]</v>
      </c>
    </row>
    <row r="221" spans="2:19" hidden="1" outlineLevel="1" x14ac:dyDescent="0.25">
      <c r="B221" s="77">
        <v>46</v>
      </c>
      <c r="C221" t="s">
        <v>208</v>
      </c>
      <c r="D221" t="s">
        <v>218</v>
      </c>
      <c r="E221" s="4">
        <v>15</v>
      </c>
      <c r="H221">
        <v>2</v>
      </c>
      <c r="I221" s="2">
        <v>1</v>
      </c>
      <c r="J221">
        <v>1</v>
      </c>
      <c r="K221" s="2">
        <v>0</v>
      </c>
      <c r="L221" s="2">
        <v>0</v>
      </c>
      <c r="M221" s="2" t="s">
        <v>243</v>
      </c>
      <c r="N221" s="2" t="str">
        <f t="shared" si="1"/>
        <v>2 1 1 0 0;</v>
      </c>
      <c r="P221" t="s">
        <v>247</v>
      </c>
      <c r="Q221" s="2" t="str">
        <f t="shared" si="2"/>
        <v>State 46</v>
      </c>
      <c r="R221" s="1" t="s">
        <v>81</v>
      </c>
      <c r="S221" s="2" t="str">
        <f t="shared" si="3"/>
        <v>[2 1 1 0 0]</v>
      </c>
    </row>
    <row r="222" spans="2:19" hidden="1" outlineLevel="1" x14ac:dyDescent="0.25">
      <c r="B222" s="77">
        <v>47</v>
      </c>
      <c r="C222" s="71" t="s">
        <v>207</v>
      </c>
      <c r="D222" t="s">
        <v>218</v>
      </c>
      <c r="E222" s="4">
        <v>15</v>
      </c>
      <c r="H222" s="71">
        <v>2</v>
      </c>
      <c r="I222" s="2">
        <v>1</v>
      </c>
      <c r="J222">
        <v>0</v>
      </c>
      <c r="K222" s="2">
        <v>0</v>
      </c>
      <c r="L222" s="2">
        <v>1</v>
      </c>
      <c r="M222" s="2" t="s">
        <v>243</v>
      </c>
      <c r="N222" s="2" t="str">
        <f t="shared" si="1"/>
        <v>2 1 0 0 1;</v>
      </c>
      <c r="P222" t="s">
        <v>247</v>
      </c>
      <c r="Q222" s="2" t="str">
        <f t="shared" si="2"/>
        <v>State 47</v>
      </c>
      <c r="R222" s="1" t="s">
        <v>81</v>
      </c>
      <c r="S222" s="2" t="str">
        <f t="shared" si="3"/>
        <v>[2 1 0 0 1]</v>
      </c>
    </row>
    <row r="223" spans="2:19" outlineLevel="1" x14ac:dyDescent="0.25">
      <c r="B223" s="169">
        <v>38</v>
      </c>
      <c r="C223" s="170" t="s">
        <v>206</v>
      </c>
      <c r="D223" s="24" t="s">
        <v>118</v>
      </c>
      <c r="E223" s="4">
        <v>15</v>
      </c>
      <c r="H223" s="71">
        <v>2</v>
      </c>
      <c r="I223" s="2">
        <v>1</v>
      </c>
      <c r="J223">
        <v>0</v>
      </c>
      <c r="K223" s="2">
        <v>0</v>
      </c>
      <c r="L223" s="2">
        <v>0</v>
      </c>
      <c r="M223" s="2" t="s">
        <v>243</v>
      </c>
      <c r="N223" s="2" t="str">
        <f t="shared" si="1"/>
        <v>2 1 0 0 0;</v>
      </c>
      <c r="P223" t="s">
        <v>247</v>
      </c>
      <c r="Q223" s="2" t="str">
        <f t="shared" si="2"/>
        <v>State 38</v>
      </c>
      <c r="R223" s="1" t="s">
        <v>81</v>
      </c>
      <c r="S223" s="2" t="str">
        <f t="shared" si="3"/>
        <v>[2 1 0 0 0]</v>
      </c>
    </row>
    <row r="224" spans="2:19" hidden="1" outlineLevel="1" x14ac:dyDescent="0.25">
      <c r="B224" s="77">
        <v>49</v>
      </c>
      <c r="C224" s="71" t="s">
        <v>212</v>
      </c>
      <c r="D224" t="s">
        <v>218</v>
      </c>
      <c r="E224" s="4">
        <v>15</v>
      </c>
      <c r="H224" s="71">
        <v>1</v>
      </c>
      <c r="I224" s="2">
        <v>1</v>
      </c>
      <c r="J224">
        <v>2</v>
      </c>
      <c r="K224" s="2">
        <v>0</v>
      </c>
      <c r="L224" s="2">
        <v>0</v>
      </c>
      <c r="M224" s="2" t="s">
        <v>243</v>
      </c>
      <c r="N224" s="2" t="str">
        <f t="shared" si="1"/>
        <v>1 1 2 0 0;</v>
      </c>
      <c r="P224" t="s">
        <v>247</v>
      </c>
      <c r="Q224" s="2" t="str">
        <f t="shared" si="2"/>
        <v>State 49</v>
      </c>
      <c r="R224" s="1" t="s">
        <v>81</v>
      </c>
      <c r="S224" s="2" t="str">
        <f t="shared" si="3"/>
        <v>[1 1 2 0 0]</v>
      </c>
    </row>
    <row r="225" spans="2:19" hidden="1" outlineLevel="1" x14ac:dyDescent="0.25">
      <c r="B225" s="77">
        <v>50</v>
      </c>
      <c r="C225" s="71" t="s">
        <v>211</v>
      </c>
      <c r="D225" t="s">
        <v>218</v>
      </c>
      <c r="E225" s="4">
        <v>15</v>
      </c>
      <c r="H225" s="71">
        <v>1</v>
      </c>
      <c r="I225" s="2">
        <v>1</v>
      </c>
      <c r="J225">
        <v>1</v>
      </c>
      <c r="K225" s="2">
        <v>0</v>
      </c>
      <c r="L225" s="2">
        <v>1</v>
      </c>
      <c r="M225" s="2" t="s">
        <v>243</v>
      </c>
      <c r="N225" s="2" t="str">
        <f t="shared" si="1"/>
        <v>1 1 1 0 1;</v>
      </c>
      <c r="P225" t="s">
        <v>247</v>
      </c>
      <c r="Q225" s="2" t="str">
        <f t="shared" si="2"/>
        <v>State 50</v>
      </c>
      <c r="R225" s="1" t="s">
        <v>81</v>
      </c>
      <c r="S225" s="2" t="str">
        <f t="shared" si="3"/>
        <v>[1 1 1 0 1]</v>
      </c>
    </row>
    <row r="226" spans="2:19" hidden="1" outlineLevel="1" x14ac:dyDescent="0.25">
      <c r="B226" s="77">
        <v>51</v>
      </c>
      <c r="C226" s="71" t="s">
        <v>215</v>
      </c>
      <c r="D226" t="s">
        <v>218</v>
      </c>
      <c r="E226" s="4">
        <v>15</v>
      </c>
      <c r="H226" s="71">
        <v>2</v>
      </c>
      <c r="I226" s="2">
        <v>0</v>
      </c>
      <c r="J226">
        <v>1</v>
      </c>
      <c r="K226" s="2">
        <v>1</v>
      </c>
      <c r="L226" s="2">
        <v>0</v>
      </c>
      <c r="M226" s="2" t="s">
        <v>243</v>
      </c>
      <c r="N226" s="2" t="str">
        <f t="shared" si="1"/>
        <v>2 0 1 1 0;</v>
      </c>
      <c r="P226" t="s">
        <v>247</v>
      </c>
      <c r="Q226" s="2" t="str">
        <f t="shared" si="2"/>
        <v>State 51</v>
      </c>
      <c r="R226" s="1" t="s">
        <v>81</v>
      </c>
      <c r="S226" s="2" t="str">
        <f t="shared" si="3"/>
        <v>[2 0 1 1 0]</v>
      </c>
    </row>
    <row r="227" spans="2:19" hidden="1" outlineLevel="1" x14ac:dyDescent="0.25">
      <c r="B227" s="77">
        <v>52</v>
      </c>
      <c r="C227" s="71" t="s">
        <v>214</v>
      </c>
      <c r="D227" t="s">
        <v>218</v>
      </c>
      <c r="E227" s="4">
        <v>15</v>
      </c>
      <c r="H227" s="71">
        <v>2</v>
      </c>
      <c r="I227" s="2">
        <v>0</v>
      </c>
      <c r="J227">
        <v>0</v>
      </c>
      <c r="K227" s="2">
        <v>1</v>
      </c>
      <c r="L227" s="2">
        <v>1</v>
      </c>
      <c r="M227" s="2" t="s">
        <v>243</v>
      </c>
      <c r="N227" s="2" t="str">
        <f t="shared" si="1"/>
        <v>2 0 0 1 1;</v>
      </c>
      <c r="P227" t="s">
        <v>247</v>
      </c>
      <c r="Q227" s="2" t="str">
        <f t="shared" si="2"/>
        <v>State 52</v>
      </c>
      <c r="R227" s="1" t="s">
        <v>81</v>
      </c>
      <c r="S227" s="2" t="str">
        <f t="shared" si="3"/>
        <v>[2 0 0 1 1]</v>
      </c>
    </row>
    <row r="228" spans="2:19" outlineLevel="1" x14ac:dyDescent="0.25">
      <c r="B228" s="169">
        <v>39</v>
      </c>
      <c r="C228" s="170" t="s">
        <v>213</v>
      </c>
      <c r="D228" s="24" t="s">
        <v>118</v>
      </c>
      <c r="E228" s="4">
        <v>15</v>
      </c>
      <c r="H228" s="71">
        <v>2</v>
      </c>
      <c r="I228" s="2">
        <v>0</v>
      </c>
      <c r="J228">
        <v>0</v>
      </c>
      <c r="K228" s="2">
        <v>1</v>
      </c>
      <c r="L228" s="2">
        <v>0</v>
      </c>
      <c r="M228" s="2" t="s">
        <v>243</v>
      </c>
      <c r="N228" s="2" t="str">
        <f t="shared" si="1"/>
        <v>2 0 0 1 0;</v>
      </c>
      <c r="P228" t="s">
        <v>247</v>
      </c>
      <c r="Q228" s="2" t="str">
        <f t="shared" si="2"/>
        <v>State 39</v>
      </c>
      <c r="R228" s="1" t="s">
        <v>81</v>
      </c>
      <c r="S228" s="2" t="str">
        <f t="shared" si="3"/>
        <v>[2 0 0 1 0]</v>
      </c>
    </row>
    <row r="229" spans="2:19" hidden="1" outlineLevel="1" x14ac:dyDescent="0.25">
      <c r="B229" s="77">
        <v>54</v>
      </c>
      <c r="C229" s="71" t="s">
        <v>217</v>
      </c>
      <c r="D229" t="s">
        <v>218</v>
      </c>
      <c r="E229" s="4">
        <v>15</v>
      </c>
      <c r="H229" s="71">
        <v>1</v>
      </c>
      <c r="I229" s="2">
        <v>0</v>
      </c>
      <c r="J229">
        <v>2</v>
      </c>
      <c r="K229" s="2">
        <v>1</v>
      </c>
      <c r="L229" s="2">
        <v>0</v>
      </c>
      <c r="M229" s="2" t="s">
        <v>243</v>
      </c>
      <c r="N229" s="2" t="str">
        <f t="shared" si="1"/>
        <v>1 0 2 1 0;</v>
      </c>
      <c r="P229" t="s">
        <v>247</v>
      </c>
      <c r="Q229" s="2" t="str">
        <f t="shared" si="2"/>
        <v>State 54</v>
      </c>
      <c r="R229" s="1" t="s">
        <v>81</v>
      </c>
      <c r="S229" s="2" t="str">
        <f t="shared" si="3"/>
        <v>[1 0 2 1 0]</v>
      </c>
    </row>
    <row r="230" spans="2:19" hidden="1" outlineLevel="1" x14ac:dyDescent="0.25">
      <c r="B230" s="88">
        <v>55</v>
      </c>
      <c r="C230" s="73" t="s">
        <v>216</v>
      </c>
      <c r="D230" s="72" t="s">
        <v>218</v>
      </c>
      <c r="E230" s="118">
        <v>15</v>
      </c>
      <c r="H230" s="73">
        <v>1</v>
      </c>
      <c r="I230" s="2">
        <v>0</v>
      </c>
      <c r="J230">
        <v>1</v>
      </c>
      <c r="K230" s="2">
        <v>1</v>
      </c>
      <c r="L230" s="2">
        <v>1</v>
      </c>
      <c r="M230" s="2" t="s">
        <v>245</v>
      </c>
      <c r="N230" s="2" t="str">
        <f t="shared" si="1"/>
        <v>1 0 1 1 1];</v>
      </c>
      <c r="P230" t="s">
        <v>247</v>
      </c>
      <c r="Q230" s="2" t="str">
        <f t="shared" si="2"/>
        <v>State 55</v>
      </c>
      <c r="R230" s="1" t="s">
        <v>81</v>
      </c>
      <c r="S230" s="2" t="str">
        <f t="shared" si="3"/>
        <v>[1 0 1 1 1]</v>
      </c>
    </row>
    <row r="231" spans="2:19" x14ac:dyDescent="0.25">
      <c r="D231" s="71"/>
    </row>
    <row r="232" spans="2:19" outlineLevel="1" x14ac:dyDescent="0.25">
      <c r="B232" s="182" t="s">
        <v>242</v>
      </c>
      <c r="C232" s="182"/>
      <c r="D232" s="182"/>
    </row>
    <row r="233" spans="2:19" outlineLevel="1" x14ac:dyDescent="0.25">
      <c r="B233" s="183" t="s">
        <v>118</v>
      </c>
      <c r="C233" s="184"/>
      <c r="D233" s="154">
        <f>COUNTIF($D$176:$D$230,B233)</f>
        <v>39</v>
      </c>
    </row>
    <row r="234" spans="2:19" outlineLevel="1" x14ac:dyDescent="0.25">
      <c r="B234" s="185" t="s">
        <v>218</v>
      </c>
      <c r="C234" s="186"/>
      <c r="D234" s="155">
        <f>COUNTIF($D$176:$D$230,B234)</f>
        <v>16</v>
      </c>
    </row>
    <row r="235" spans="2:19" outlineLevel="1" x14ac:dyDescent="0.25">
      <c r="B235" s="157"/>
      <c r="C235" s="158" t="s">
        <v>156</v>
      </c>
      <c r="D235" s="156">
        <f>SUM(D233:D234)</f>
        <v>55</v>
      </c>
    </row>
    <row r="237" spans="2:19" x14ac:dyDescent="0.25">
      <c r="D237" s="71"/>
    </row>
    <row r="238" spans="2:19" hidden="1" outlineLevel="1" x14ac:dyDescent="0.25">
      <c r="C238" s="122" t="s">
        <v>149</v>
      </c>
      <c r="D238" s="125">
        <v>0.64700000000000002</v>
      </c>
      <c r="G238" s="122" t="s">
        <v>150</v>
      </c>
      <c r="H238" s="123">
        <v>0.26300000000000001</v>
      </c>
      <c r="K238" s="122" t="s">
        <v>151</v>
      </c>
      <c r="L238" s="133" t="s">
        <v>155</v>
      </c>
    </row>
    <row r="239" spans="2:19" hidden="1" outlineLevel="1" x14ac:dyDescent="0.25">
      <c r="D239" s="71"/>
    </row>
    <row r="240" spans="2:19" hidden="1" outlineLevel="1" x14ac:dyDescent="0.25">
      <c r="B240" s="119"/>
      <c r="C240" s="121" t="s">
        <v>15</v>
      </c>
      <c r="D240" s="148" t="s">
        <v>24</v>
      </c>
      <c r="E240" s="121" t="s">
        <v>26</v>
      </c>
      <c r="F240" s="121" t="s">
        <v>37</v>
      </c>
      <c r="G240" s="121" t="s">
        <v>27</v>
      </c>
      <c r="H240" s="121" t="s">
        <v>109</v>
      </c>
      <c r="I240" s="121" t="s">
        <v>111</v>
      </c>
      <c r="J240" s="121" t="s">
        <v>110</v>
      </c>
      <c r="K240" s="121" t="s">
        <v>114</v>
      </c>
      <c r="L240" s="121" t="s">
        <v>113</v>
      </c>
      <c r="M240" s="121" t="s">
        <v>112</v>
      </c>
      <c r="N240" s="121" t="s">
        <v>116</v>
      </c>
      <c r="O240" s="121" t="s">
        <v>115</v>
      </c>
    </row>
    <row r="241" spans="1:15" hidden="1" outlineLevel="1" x14ac:dyDescent="0.25">
      <c r="A241" t="s">
        <v>148</v>
      </c>
      <c r="B241" s="120" t="s">
        <v>15</v>
      </c>
      <c r="C241" t="s">
        <v>108</v>
      </c>
      <c r="D241" s="71" t="s">
        <v>106</v>
      </c>
      <c r="E241" s="2" t="s">
        <v>107</v>
      </c>
    </row>
    <row r="242" spans="1:15" hidden="1" outlineLevel="1" x14ac:dyDescent="0.25">
      <c r="B242" s="120" t="s">
        <v>24</v>
      </c>
      <c r="D242" s="71"/>
      <c r="H242" t="s">
        <v>108</v>
      </c>
      <c r="I242" s="2" t="s">
        <v>106</v>
      </c>
      <c r="J242" t="s">
        <v>107</v>
      </c>
    </row>
    <row r="243" spans="1:15" hidden="1" outlineLevel="1" x14ac:dyDescent="0.25">
      <c r="B243" s="120" t="s">
        <v>26</v>
      </c>
      <c r="D243" s="71" t="s">
        <v>108</v>
      </c>
      <c r="F243" t="s">
        <v>106</v>
      </c>
      <c r="G243" s="2" t="s">
        <v>107</v>
      </c>
    </row>
    <row r="244" spans="1:15" hidden="1" outlineLevel="1" x14ac:dyDescent="0.25">
      <c r="B244" s="120" t="s">
        <v>37</v>
      </c>
      <c r="D244" s="71"/>
      <c r="K244" s="2" t="s">
        <v>106</v>
      </c>
      <c r="L244" s="2" t="s">
        <v>107</v>
      </c>
      <c r="M244" s="2" t="s">
        <v>108</v>
      </c>
    </row>
    <row r="245" spans="1:15" hidden="1" outlineLevel="1" x14ac:dyDescent="0.25">
      <c r="B245" s="120" t="s">
        <v>27</v>
      </c>
      <c r="D245" s="71"/>
      <c r="I245" s="2" t="s">
        <v>108</v>
      </c>
      <c r="N245" s="2" t="s">
        <v>106</v>
      </c>
      <c r="O245" s="2" t="s">
        <v>107</v>
      </c>
    </row>
    <row r="246" spans="1:15" hidden="1" outlineLevel="1" x14ac:dyDescent="0.25">
      <c r="B246" s="120" t="s">
        <v>109</v>
      </c>
      <c r="C246" t="s">
        <v>108</v>
      </c>
      <c r="D246" s="71" t="s">
        <v>106</v>
      </c>
      <c r="E246" s="2" t="s">
        <v>107</v>
      </c>
    </row>
    <row r="247" spans="1:15" hidden="1" outlineLevel="1" x14ac:dyDescent="0.25">
      <c r="B247" s="120" t="s">
        <v>111</v>
      </c>
      <c r="D247" s="71"/>
      <c r="H247" t="s">
        <v>108</v>
      </c>
      <c r="I247" s="2" t="s">
        <v>106</v>
      </c>
      <c r="J247" t="s">
        <v>107</v>
      </c>
    </row>
    <row r="248" spans="1:15" hidden="1" outlineLevel="1" x14ac:dyDescent="0.25">
      <c r="B248" s="120" t="s">
        <v>110</v>
      </c>
      <c r="D248" s="71" t="s">
        <v>108</v>
      </c>
      <c r="F248" t="s">
        <v>106</v>
      </c>
      <c r="G248" s="2" t="s">
        <v>107</v>
      </c>
    </row>
    <row r="249" spans="1:15" hidden="1" outlineLevel="1" x14ac:dyDescent="0.25">
      <c r="B249" s="120" t="s">
        <v>114</v>
      </c>
      <c r="D249" s="71"/>
      <c r="H249" t="s">
        <v>108</v>
      </c>
      <c r="I249" s="2" t="s">
        <v>106</v>
      </c>
      <c r="J249" t="s">
        <v>107</v>
      </c>
    </row>
    <row r="250" spans="1:15" hidden="1" outlineLevel="1" x14ac:dyDescent="0.25">
      <c r="B250" s="120" t="s">
        <v>113</v>
      </c>
      <c r="D250" s="71" t="s">
        <v>108</v>
      </c>
      <c r="F250" t="s">
        <v>106</v>
      </c>
      <c r="G250" s="2" t="s">
        <v>107</v>
      </c>
    </row>
    <row r="251" spans="1:15" hidden="1" outlineLevel="1" x14ac:dyDescent="0.25">
      <c r="B251" s="120" t="s">
        <v>112</v>
      </c>
      <c r="C251" t="s">
        <v>108</v>
      </c>
      <c r="D251" s="71" t="s">
        <v>106</v>
      </c>
      <c r="E251" s="2" t="s">
        <v>107</v>
      </c>
    </row>
    <row r="252" spans="1:15" hidden="1" outlineLevel="1" x14ac:dyDescent="0.25">
      <c r="B252" s="120" t="s">
        <v>116</v>
      </c>
      <c r="D252" s="71"/>
      <c r="K252" s="2" t="s">
        <v>106</v>
      </c>
      <c r="L252" s="2" t="s">
        <v>107</v>
      </c>
      <c r="M252" s="2" t="s">
        <v>108</v>
      </c>
    </row>
    <row r="253" spans="1:15" hidden="1" outlineLevel="1" x14ac:dyDescent="0.25">
      <c r="B253" s="120" t="s">
        <v>115</v>
      </c>
      <c r="D253" s="71"/>
      <c r="I253" s="2" t="s">
        <v>108</v>
      </c>
      <c r="N253" s="2" t="s">
        <v>106</v>
      </c>
      <c r="O253" s="2" t="s">
        <v>107</v>
      </c>
    </row>
    <row r="254" spans="1:15" hidden="1" outlineLevel="1" x14ac:dyDescent="0.25">
      <c r="D254" s="71"/>
    </row>
    <row r="255" spans="1:15" hidden="1" outlineLevel="1" x14ac:dyDescent="0.25">
      <c r="D255" s="71"/>
    </row>
    <row r="256" spans="1:15" hidden="1" outlineLevel="1" x14ac:dyDescent="0.25">
      <c r="B256" s="119"/>
      <c r="C256" s="121" t="str">
        <f>C240</f>
        <v>000</v>
      </c>
      <c r="D256" s="148" t="str">
        <f t="shared" ref="D256:O256" si="4">D240</f>
        <v>010</v>
      </c>
      <c r="E256" s="121" t="str">
        <f t="shared" si="4"/>
        <v>001</v>
      </c>
      <c r="F256" s="121" t="str">
        <f t="shared" si="4"/>
        <v>020</v>
      </c>
      <c r="G256" s="121" t="str">
        <f t="shared" si="4"/>
        <v>011</v>
      </c>
      <c r="H256" s="121" t="str">
        <f t="shared" si="4"/>
        <v>100</v>
      </c>
      <c r="I256" s="121" t="str">
        <f t="shared" si="4"/>
        <v>110</v>
      </c>
      <c r="J256" s="121" t="str">
        <f t="shared" si="4"/>
        <v>101</v>
      </c>
      <c r="K256" s="121" t="str">
        <f t="shared" si="4"/>
        <v>210</v>
      </c>
      <c r="L256" s="121" t="str">
        <f t="shared" si="4"/>
        <v>201</v>
      </c>
      <c r="M256" s="121" t="str">
        <f t="shared" si="4"/>
        <v>200</v>
      </c>
      <c r="N256" s="121" t="str">
        <f t="shared" si="4"/>
        <v>120</v>
      </c>
      <c r="O256" s="121" t="str">
        <f t="shared" si="4"/>
        <v>111</v>
      </c>
    </row>
    <row r="257" spans="2:17" hidden="1" outlineLevel="1" x14ac:dyDescent="0.25">
      <c r="B257" s="120" t="str">
        <f>B241</f>
        <v>000</v>
      </c>
      <c r="C257" s="127">
        <f>IFERROR(IF(C241="N",$D$238,IF(C241="S",$L$238,IF(C241="L",$H$238,0))),0)</f>
        <v>0.64700000000000002</v>
      </c>
      <c r="D257" s="74" t="str">
        <f t="shared" ref="D257:O257" si="5">IFERROR(IF(D241="N",$D$238,IF(D241="S",$L$238,IF(D241="L",$H$238,0))),0)</f>
        <v>0.090</v>
      </c>
      <c r="E257" s="75">
        <f t="shared" si="5"/>
        <v>0.26300000000000001</v>
      </c>
      <c r="F257" s="75">
        <f t="shared" si="5"/>
        <v>0</v>
      </c>
      <c r="G257" s="75">
        <f t="shared" si="5"/>
        <v>0</v>
      </c>
      <c r="H257" s="75">
        <f t="shared" si="5"/>
        <v>0</v>
      </c>
      <c r="I257" s="128">
        <f t="shared" si="5"/>
        <v>0</v>
      </c>
      <c r="J257" s="75">
        <f t="shared" si="5"/>
        <v>0</v>
      </c>
      <c r="K257" s="128">
        <f t="shared" si="5"/>
        <v>0</v>
      </c>
      <c r="L257" s="128">
        <f t="shared" si="5"/>
        <v>0</v>
      </c>
      <c r="M257" s="128">
        <f t="shared" si="5"/>
        <v>0</v>
      </c>
      <c r="N257" s="128">
        <f t="shared" si="5"/>
        <v>0</v>
      </c>
      <c r="O257" s="134">
        <f t="shared" si="5"/>
        <v>0</v>
      </c>
      <c r="P257" s="71" t="s">
        <v>152</v>
      </c>
      <c r="Q257" s="79">
        <f>SUM(C257:O257)</f>
        <v>0.91</v>
      </c>
    </row>
    <row r="258" spans="2:17" hidden="1" outlineLevel="1" x14ac:dyDescent="0.25">
      <c r="B258" s="120" t="str">
        <f t="shared" ref="B258:B269" si="6">B242</f>
        <v>010</v>
      </c>
      <c r="C258" s="77">
        <f t="shared" ref="C258:O269" si="7">IFERROR(IF(C242="N",$D$238,IF(C242="S",$L$238,IF(C242="L",$H$238,0))),0)</f>
        <v>0</v>
      </c>
      <c r="D258" s="71">
        <f t="shared" si="7"/>
        <v>0</v>
      </c>
      <c r="E258">
        <f t="shared" si="7"/>
        <v>0</v>
      </c>
      <c r="F258">
        <f t="shared" si="7"/>
        <v>0</v>
      </c>
      <c r="G258">
        <f t="shared" si="7"/>
        <v>0</v>
      </c>
      <c r="H258">
        <f t="shared" si="7"/>
        <v>0.64700000000000002</v>
      </c>
      <c r="I258" s="2" t="str">
        <f t="shared" si="7"/>
        <v>0.090</v>
      </c>
      <c r="J258">
        <f t="shared" si="7"/>
        <v>0.26300000000000001</v>
      </c>
      <c r="K258" s="2">
        <f t="shared" si="7"/>
        <v>0</v>
      </c>
      <c r="L258" s="2">
        <f t="shared" si="7"/>
        <v>0</v>
      </c>
      <c r="M258" s="2">
        <f t="shared" si="7"/>
        <v>0</v>
      </c>
      <c r="N258" s="2">
        <f t="shared" si="7"/>
        <v>0</v>
      </c>
      <c r="O258" s="6">
        <f t="shared" si="7"/>
        <v>0</v>
      </c>
      <c r="Q258" s="79">
        <f t="shared" ref="Q258:Q269" si="8">SUM(C258:O258)</f>
        <v>0.91</v>
      </c>
    </row>
    <row r="259" spans="2:17" hidden="1" outlineLevel="1" x14ac:dyDescent="0.25">
      <c r="B259" s="120" t="str">
        <f t="shared" si="6"/>
        <v>001</v>
      </c>
      <c r="C259" s="77">
        <f t="shared" si="7"/>
        <v>0</v>
      </c>
      <c r="D259" s="71">
        <f t="shared" si="7"/>
        <v>0.64700000000000002</v>
      </c>
      <c r="E259">
        <f t="shared" si="7"/>
        <v>0</v>
      </c>
      <c r="F259" t="str">
        <f t="shared" si="7"/>
        <v>0.090</v>
      </c>
      <c r="G259">
        <f t="shared" si="7"/>
        <v>0.26300000000000001</v>
      </c>
      <c r="H259">
        <f t="shared" si="7"/>
        <v>0</v>
      </c>
      <c r="I259" s="2">
        <f t="shared" si="7"/>
        <v>0</v>
      </c>
      <c r="J259">
        <f t="shared" si="7"/>
        <v>0</v>
      </c>
      <c r="K259" s="2">
        <f t="shared" si="7"/>
        <v>0</v>
      </c>
      <c r="L259" s="2">
        <f t="shared" si="7"/>
        <v>0</v>
      </c>
      <c r="M259" s="2">
        <f t="shared" si="7"/>
        <v>0</v>
      </c>
      <c r="N259" s="2">
        <f t="shared" si="7"/>
        <v>0</v>
      </c>
      <c r="O259" s="6">
        <f t="shared" si="7"/>
        <v>0</v>
      </c>
      <c r="Q259" s="79">
        <f t="shared" si="8"/>
        <v>0.91</v>
      </c>
    </row>
    <row r="260" spans="2:17" hidden="1" outlineLevel="1" x14ac:dyDescent="0.25">
      <c r="B260" s="120" t="str">
        <f t="shared" si="6"/>
        <v>020</v>
      </c>
      <c r="C260" s="77">
        <f t="shared" si="7"/>
        <v>0</v>
      </c>
      <c r="D260" s="71">
        <f t="shared" si="7"/>
        <v>0</v>
      </c>
      <c r="E260">
        <f t="shared" si="7"/>
        <v>0</v>
      </c>
      <c r="F260">
        <f t="shared" si="7"/>
        <v>0</v>
      </c>
      <c r="G260">
        <f t="shared" si="7"/>
        <v>0</v>
      </c>
      <c r="H260">
        <f t="shared" si="7"/>
        <v>0</v>
      </c>
      <c r="I260" s="2">
        <f t="shared" si="7"/>
        <v>0</v>
      </c>
      <c r="J260">
        <f t="shared" si="7"/>
        <v>0</v>
      </c>
      <c r="K260" s="2" t="str">
        <f t="shared" si="7"/>
        <v>0.090</v>
      </c>
      <c r="L260" s="2">
        <f t="shared" si="7"/>
        <v>0.26300000000000001</v>
      </c>
      <c r="M260" s="2">
        <f t="shared" si="7"/>
        <v>0.64700000000000002</v>
      </c>
      <c r="N260" s="2">
        <f t="shared" si="7"/>
        <v>0</v>
      </c>
      <c r="O260" s="6">
        <f t="shared" si="7"/>
        <v>0</v>
      </c>
      <c r="Q260" s="79">
        <f t="shared" si="8"/>
        <v>0.91</v>
      </c>
    </row>
    <row r="261" spans="2:17" hidden="1" outlineLevel="1" x14ac:dyDescent="0.25">
      <c r="B261" s="120" t="str">
        <f t="shared" si="6"/>
        <v>011</v>
      </c>
      <c r="C261" s="77">
        <f t="shared" si="7"/>
        <v>0</v>
      </c>
      <c r="D261" s="71">
        <f t="shared" si="7"/>
        <v>0</v>
      </c>
      <c r="E261">
        <f t="shared" si="7"/>
        <v>0</v>
      </c>
      <c r="F261">
        <f t="shared" si="7"/>
        <v>0</v>
      </c>
      <c r="G261">
        <f t="shared" si="7"/>
        <v>0</v>
      </c>
      <c r="H261">
        <f t="shared" si="7"/>
        <v>0</v>
      </c>
      <c r="I261" s="2">
        <f t="shared" si="7"/>
        <v>0.64700000000000002</v>
      </c>
      <c r="J261">
        <f t="shared" si="7"/>
        <v>0</v>
      </c>
      <c r="K261" s="2">
        <f t="shared" si="7"/>
        <v>0</v>
      </c>
      <c r="L261" s="2">
        <f t="shared" si="7"/>
        <v>0</v>
      </c>
      <c r="M261" s="2">
        <f t="shared" si="7"/>
        <v>0</v>
      </c>
      <c r="N261" s="2" t="str">
        <f t="shared" si="7"/>
        <v>0.090</v>
      </c>
      <c r="O261" s="6">
        <f t="shared" si="7"/>
        <v>0.26300000000000001</v>
      </c>
      <c r="Q261" s="79">
        <f t="shared" si="8"/>
        <v>0.91</v>
      </c>
    </row>
    <row r="262" spans="2:17" hidden="1" outlineLevel="1" x14ac:dyDescent="0.25">
      <c r="B262" s="120" t="str">
        <f t="shared" si="6"/>
        <v>100</v>
      </c>
      <c r="C262" s="77">
        <f t="shared" si="7"/>
        <v>0.64700000000000002</v>
      </c>
      <c r="D262" s="71" t="str">
        <f t="shared" si="7"/>
        <v>0.090</v>
      </c>
      <c r="E262">
        <f t="shared" si="7"/>
        <v>0.26300000000000001</v>
      </c>
      <c r="F262">
        <f t="shared" si="7"/>
        <v>0</v>
      </c>
      <c r="G262">
        <f t="shared" si="7"/>
        <v>0</v>
      </c>
      <c r="H262">
        <f t="shared" si="7"/>
        <v>0</v>
      </c>
      <c r="I262" s="2">
        <f t="shared" si="7"/>
        <v>0</v>
      </c>
      <c r="J262">
        <f t="shared" si="7"/>
        <v>0</v>
      </c>
      <c r="K262" s="2">
        <f t="shared" si="7"/>
        <v>0</v>
      </c>
      <c r="L262" s="2">
        <f t="shared" si="7"/>
        <v>0</v>
      </c>
      <c r="M262" s="2">
        <f t="shared" si="7"/>
        <v>0</v>
      </c>
      <c r="N262" s="2">
        <f t="shared" si="7"/>
        <v>0</v>
      </c>
      <c r="O262" s="6">
        <f t="shared" si="7"/>
        <v>0</v>
      </c>
      <c r="Q262" s="79">
        <f t="shared" si="8"/>
        <v>0.91</v>
      </c>
    </row>
    <row r="263" spans="2:17" hidden="1" outlineLevel="1" x14ac:dyDescent="0.25">
      <c r="B263" s="120" t="str">
        <f t="shared" si="6"/>
        <v>110</v>
      </c>
      <c r="C263" s="77">
        <f t="shared" si="7"/>
        <v>0</v>
      </c>
      <c r="D263" s="71">
        <f t="shared" si="7"/>
        <v>0</v>
      </c>
      <c r="E263">
        <f t="shared" si="7"/>
        <v>0</v>
      </c>
      <c r="F263">
        <f t="shared" si="7"/>
        <v>0</v>
      </c>
      <c r="G263">
        <f t="shared" si="7"/>
        <v>0</v>
      </c>
      <c r="H263">
        <f t="shared" si="7"/>
        <v>0.64700000000000002</v>
      </c>
      <c r="I263" s="2" t="str">
        <f t="shared" si="7"/>
        <v>0.090</v>
      </c>
      <c r="J263">
        <f t="shared" si="7"/>
        <v>0.26300000000000001</v>
      </c>
      <c r="K263" s="2">
        <f t="shared" si="7"/>
        <v>0</v>
      </c>
      <c r="L263" s="2">
        <f t="shared" si="7"/>
        <v>0</v>
      </c>
      <c r="M263" s="2">
        <f t="shared" si="7"/>
        <v>0</v>
      </c>
      <c r="N263" s="2">
        <f t="shared" si="7"/>
        <v>0</v>
      </c>
      <c r="O263" s="6">
        <f t="shared" si="7"/>
        <v>0</v>
      </c>
      <c r="Q263" s="79">
        <f t="shared" si="8"/>
        <v>0.91</v>
      </c>
    </row>
    <row r="264" spans="2:17" hidden="1" outlineLevel="1" x14ac:dyDescent="0.25">
      <c r="B264" s="120" t="str">
        <f t="shared" si="6"/>
        <v>101</v>
      </c>
      <c r="C264" s="77">
        <f t="shared" si="7"/>
        <v>0</v>
      </c>
      <c r="D264" s="71">
        <f t="shared" si="7"/>
        <v>0.64700000000000002</v>
      </c>
      <c r="E264">
        <f t="shared" si="7"/>
        <v>0</v>
      </c>
      <c r="F264" t="str">
        <f t="shared" si="7"/>
        <v>0.090</v>
      </c>
      <c r="G264">
        <f t="shared" si="7"/>
        <v>0.26300000000000001</v>
      </c>
      <c r="H264">
        <f t="shared" si="7"/>
        <v>0</v>
      </c>
      <c r="I264" s="2">
        <f t="shared" si="7"/>
        <v>0</v>
      </c>
      <c r="J264">
        <f t="shared" si="7"/>
        <v>0</v>
      </c>
      <c r="K264" s="2">
        <f t="shared" si="7"/>
        <v>0</v>
      </c>
      <c r="L264" s="2">
        <f t="shared" si="7"/>
        <v>0</v>
      </c>
      <c r="M264" s="2">
        <f t="shared" si="7"/>
        <v>0</v>
      </c>
      <c r="N264" s="2">
        <f t="shared" si="7"/>
        <v>0</v>
      </c>
      <c r="O264" s="6">
        <f t="shared" si="7"/>
        <v>0</v>
      </c>
      <c r="Q264" s="79">
        <f t="shared" si="8"/>
        <v>0.91</v>
      </c>
    </row>
    <row r="265" spans="2:17" hidden="1" outlineLevel="1" x14ac:dyDescent="0.25">
      <c r="B265" s="120" t="str">
        <f t="shared" si="6"/>
        <v>210</v>
      </c>
      <c r="C265" s="77">
        <f t="shared" si="7"/>
        <v>0</v>
      </c>
      <c r="D265" s="71">
        <f t="shared" si="7"/>
        <v>0</v>
      </c>
      <c r="E265">
        <f t="shared" si="7"/>
        <v>0</v>
      </c>
      <c r="F265">
        <f t="shared" si="7"/>
        <v>0</v>
      </c>
      <c r="G265">
        <f t="shared" si="7"/>
        <v>0</v>
      </c>
      <c r="H265">
        <f t="shared" si="7"/>
        <v>0.64700000000000002</v>
      </c>
      <c r="I265" s="2" t="str">
        <f t="shared" si="7"/>
        <v>0.090</v>
      </c>
      <c r="J265">
        <f t="shared" si="7"/>
        <v>0.26300000000000001</v>
      </c>
      <c r="K265" s="2">
        <f t="shared" si="7"/>
        <v>0</v>
      </c>
      <c r="L265" s="2">
        <f t="shared" si="7"/>
        <v>0</v>
      </c>
      <c r="M265" s="2">
        <f t="shared" si="7"/>
        <v>0</v>
      </c>
      <c r="N265" s="2">
        <f t="shared" si="7"/>
        <v>0</v>
      </c>
      <c r="O265" s="6">
        <f t="shared" si="7"/>
        <v>0</v>
      </c>
      <c r="Q265" s="79">
        <f t="shared" si="8"/>
        <v>0.91</v>
      </c>
    </row>
    <row r="266" spans="2:17" hidden="1" outlineLevel="1" x14ac:dyDescent="0.25">
      <c r="B266" s="120" t="str">
        <f t="shared" si="6"/>
        <v>201</v>
      </c>
      <c r="C266" s="77">
        <f t="shared" si="7"/>
        <v>0</v>
      </c>
      <c r="D266" s="71">
        <f t="shared" si="7"/>
        <v>0.64700000000000002</v>
      </c>
      <c r="E266">
        <f t="shared" si="7"/>
        <v>0</v>
      </c>
      <c r="F266" t="str">
        <f t="shared" si="7"/>
        <v>0.090</v>
      </c>
      <c r="G266">
        <f t="shared" si="7"/>
        <v>0.26300000000000001</v>
      </c>
      <c r="H266">
        <f t="shared" si="7"/>
        <v>0</v>
      </c>
      <c r="I266" s="2">
        <f t="shared" si="7"/>
        <v>0</v>
      </c>
      <c r="J266">
        <f t="shared" si="7"/>
        <v>0</v>
      </c>
      <c r="K266" s="2">
        <f t="shared" si="7"/>
        <v>0</v>
      </c>
      <c r="L266" s="2">
        <f t="shared" si="7"/>
        <v>0</v>
      </c>
      <c r="M266" s="2">
        <f t="shared" si="7"/>
        <v>0</v>
      </c>
      <c r="N266" s="2">
        <f t="shared" si="7"/>
        <v>0</v>
      </c>
      <c r="O266" s="6">
        <f t="shared" si="7"/>
        <v>0</v>
      </c>
      <c r="Q266" s="79">
        <f t="shared" si="8"/>
        <v>0.91</v>
      </c>
    </row>
    <row r="267" spans="2:17" hidden="1" outlineLevel="1" x14ac:dyDescent="0.25">
      <c r="B267" s="120" t="str">
        <f t="shared" si="6"/>
        <v>200</v>
      </c>
      <c r="C267" s="77">
        <f t="shared" si="7"/>
        <v>0.64700000000000002</v>
      </c>
      <c r="D267" s="71" t="str">
        <f t="shared" si="7"/>
        <v>0.090</v>
      </c>
      <c r="E267">
        <f t="shared" si="7"/>
        <v>0.26300000000000001</v>
      </c>
      <c r="F267">
        <f t="shared" si="7"/>
        <v>0</v>
      </c>
      <c r="G267">
        <f t="shared" si="7"/>
        <v>0</v>
      </c>
      <c r="H267">
        <f t="shared" si="7"/>
        <v>0</v>
      </c>
      <c r="I267" s="2">
        <f t="shared" si="7"/>
        <v>0</v>
      </c>
      <c r="J267">
        <f t="shared" si="7"/>
        <v>0</v>
      </c>
      <c r="K267" s="2">
        <f t="shared" si="7"/>
        <v>0</v>
      </c>
      <c r="L267" s="2">
        <f t="shared" si="7"/>
        <v>0</v>
      </c>
      <c r="M267" s="2">
        <f t="shared" si="7"/>
        <v>0</v>
      </c>
      <c r="N267" s="2">
        <f t="shared" si="7"/>
        <v>0</v>
      </c>
      <c r="O267" s="6">
        <f t="shared" si="7"/>
        <v>0</v>
      </c>
      <c r="Q267" s="79">
        <f t="shared" si="8"/>
        <v>0.91</v>
      </c>
    </row>
    <row r="268" spans="2:17" hidden="1" outlineLevel="1" x14ac:dyDescent="0.25">
      <c r="B268" s="120" t="str">
        <f t="shared" si="6"/>
        <v>120</v>
      </c>
      <c r="C268" s="77">
        <f t="shared" si="7"/>
        <v>0</v>
      </c>
      <c r="D268" s="71">
        <f t="shared" si="7"/>
        <v>0</v>
      </c>
      <c r="E268">
        <f t="shared" si="7"/>
        <v>0</v>
      </c>
      <c r="F268">
        <f t="shared" si="7"/>
        <v>0</v>
      </c>
      <c r="G268">
        <f t="shared" si="7"/>
        <v>0</v>
      </c>
      <c r="H268">
        <f t="shared" si="7"/>
        <v>0</v>
      </c>
      <c r="I268" s="2">
        <f t="shared" si="7"/>
        <v>0</v>
      </c>
      <c r="J268">
        <f t="shared" si="7"/>
        <v>0</v>
      </c>
      <c r="K268" s="2" t="str">
        <f t="shared" si="7"/>
        <v>0.090</v>
      </c>
      <c r="L268" s="2">
        <f t="shared" si="7"/>
        <v>0.26300000000000001</v>
      </c>
      <c r="M268" s="2">
        <f t="shared" si="7"/>
        <v>0.64700000000000002</v>
      </c>
      <c r="N268" s="2">
        <f t="shared" si="7"/>
        <v>0</v>
      </c>
      <c r="O268" s="6">
        <f t="shared" si="7"/>
        <v>0</v>
      </c>
      <c r="Q268" s="79">
        <f t="shared" si="8"/>
        <v>0.91</v>
      </c>
    </row>
    <row r="269" spans="2:17" hidden="1" outlineLevel="1" x14ac:dyDescent="0.25">
      <c r="B269" s="120" t="str">
        <f t="shared" si="6"/>
        <v>111</v>
      </c>
      <c r="C269" s="88">
        <f t="shared" si="7"/>
        <v>0</v>
      </c>
      <c r="D269" s="73">
        <f t="shared" si="7"/>
        <v>0</v>
      </c>
      <c r="E269" s="72">
        <f t="shared" si="7"/>
        <v>0</v>
      </c>
      <c r="F269" s="72">
        <f t="shared" si="7"/>
        <v>0</v>
      </c>
      <c r="G269" s="72">
        <f t="shared" si="7"/>
        <v>0</v>
      </c>
      <c r="H269" s="72">
        <f t="shared" si="7"/>
        <v>0</v>
      </c>
      <c r="I269" s="7">
        <f t="shared" si="7"/>
        <v>0.64700000000000002</v>
      </c>
      <c r="J269" s="72">
        <f t="shared" si="7"/>
        <v>0</v>
      </c>
      <c r="K269" s="7">
        <f t="shared" si="7"/>
        <v>0</v>
      </c>
      <c r="L269" s="7">
        <f t="shared" si="7"/>
        <v>0</v>
      </c>
      <c r="M269" s="7">
        <f t="shared" si="7"/>
        <v>0</v>
      </c>
      <c r="N269" s="7" t="str">
        <f t="shared" si="7"/>
        <v>0.090</v>
      </c>
      <c r="O269" s="5">
        <f t="shared" si="7"/>
        <v>0.26300000000000001</v>
      </c>
      <c r="Q269" s="79">
        <f t="shared" si="8"/>
        <v>0.91</v>
      </c>
    </row>
    <row r="270" spans="2:17" hidden="1" outlineLevel="1" x14ac:dyDescent="0.25">
      <c r="B270" s="126"/>
      <c r="D270" s="71"/>
      <c r="E270"/>
      <c r="G270"/>
    </row>
    <row r="271" spans="2:17" hidden="1" outlineLevel="1" x14ac:dyDescent="0.25">
      <c r="B271" s="126" t="s">
        <v>156</v>
      </c>
      <c r="C271">
        <f>SUM(C257:C269)</f>
        <v>1.9410000000000001</v>
      </c>
      <c r="D271" s="71">
        <f t="shared" ref="D271:O271" si="9">SUM(D257:D269)</f>
        <v>1.9410000000000001</v>
      </c>
      <c r="E271">
        <f t="shared" si="9"/>
        <v>0.78900000000000003</v>
      </c>
      <c r="F271">
        <f t="shared" si="9"/>
        <v>0</v>
      </c>
      <c r="G271">
        <f t="shared" si="9"/>
        <v>0.78900000000000003</v>
      </c>
      <c r="H271">
        <f t="shared" si="9"/>
        <v>1.9410000000000001</v>
      </c>
      <c r="I271" s="2">
        <f t="shared" si="9"/>
        <v>1.294</v>
      </c>
      <c r="J271">
        <f t="shared" si="9"/>
        <v>0.78900000000000003</v>
      </c>
      <c r="K271" s="2">
        <f t="shared" si="9"/>
        <v>0</v>
      </c>
      <c r="L271" s="2">
        <f t="shared" si="9"/>
        <v>0.52600000000000002</v>
      </c>
      <c r="M271" s="2">
        <f t="shared" si="9"/>
        <v>1.294</v>
      </c>
      <c r="N271" s="2">
        <f t="shared" si="9"/>
        <v>0</v>
      </c>
      <c r="O271" s="2">
        <f t="shared" si="9"/>
        <v>0.52600000000000002</v>
      </c>
    </row>
    <row r="272" spans="2:17" hidden="1" outlineLevel="1" x14ac:dyDescent="0.25">
      <c r="B272" s="126"/>
      <c r="D272" s="71"/>
      <c r="E272"/>
      <c r="G272"/>
    </row>
    <row r="273" spans="2:29" hidden="1" outlineLevel="1" x14ac:dyDescent="0.25">
      <c r="C273" s="75" t="s">
        <v>154</v>
      </c>
      <c r="D273" s="71" t="s">
        <v>15</v>
      </c>
      <c r="E273" s="75" t="s">
        <v>154</v>
      </c>
      <c r="F273" t="s">
        <v>24</v>
      </c>
      <c r="G273" s="75" t="s">
        <v>154</v>
      </c>
      <c r="H273" s="2" t="s">
        <v>26</v>
      </c>
      <c r="I273" s="128" t="s">
        <v>154</v>
      </c>
      <c r="J273" t="s">
        <v>37</v>
      </c>
      <c r="K273" s="128" t="s">
        <v>154</v>
      </c>
      <c r="L273" s="2" t="s">
        <v>27</v>
      </c>
      <c r="M273" s="128" t="s">
        <v>154</v>
      </c>
      <c r="N273" s="2" t="s">
        <v>109</v>
      </c>
      <c r="O273" s="128" t="s">
        <v>154</v>
      </c>
      <c r="P273" t="s">
        <v>111</v>
      </c>
      <c r="Q273" s="136" t="s">
        <v>154</v>
      </c>
      <c r="R273" t="s">
        <v>110</v>
      </c>
      <c r="S273" s="128" t="s">
        <v>154</v>
      </c>
      <c r="T273" t="s">
        <v>114</v>
      </c>
      <c r="U273" s="136" t="s">
        <v>154</v>
      </c>
      <c r="V273" t="s">
        <v>113</v>
      </c>
      <c r="W273" s="75" t="s">
        <v>154</v>
      </c>
      <c r="X273" t="s">
        <v>112</v>
      </c>
      <c r="Y273" s="136" t="s">
        <v>154</v>
      </c>
      <c r="Z273" t="s">
        <v>116</v>
      </c>
      <c r="AA273" s="136" t="s">
        <v>154</v>
      </c>
      <c r="AB273" t="s">
        <v>115</v>
      </c>
      <c r="AC273" s="79" t="s">
        <v>158</v>
      </c>
    </row>
    <row r="274" spans="2:29" hidden="1" outlineLevel="1" x14ac:dyDescent="0.25">
      <c r="B274" t="s">
        <v>15</v>
      </c>
      <c r="C274" s="75" t="s">
        <v>154</v>
      </c>
      <c r="D274" s="149">
        <v>0.64700000000000002</v>
      </c>
      <c r="E274" s="75" t="s">
        <v>154</v>
      </c>
      <c r="F274" s="74" t="s">
        <v>155</v>
      </c>
      <c r="G274" s="75" t="s">
        <v>154</v>
      </c>
      <c r="H274" s="128">
        <v>0.26300000000000001</v>
      </c>
      <c r="I274" s="128" t="s">
        <v>154</v>
      </c>
      <c r="J274" s="75">
        <v>0</v>
      </c>
      <c r="K274" s="128" t="s">
        <v>154</v>
      </c>
      <c r="L274" s="128">
        <v>0</v>
      </c>
      <c r="M274" s="128" t="s">
        <v>154</v>
      </c>
      <c r="N274" s="128">
        <v>0</v>
      </c>
      <c r="O274" s="128" t="s">
        <v>154</v>
      </c>
      <c r="P274" s="75">
        <v>0</v>
      </c>
      <c r="Q274" s="136" t="s">
        <v>154</v>
      </c>
      <c r="R274" s="75">
        <v>0</v>
      </c>
      <c r="S274" s="128" t="s">
        <v>154</v>
      </c>
      <c r="T274" s="75">
        <v>0</v>
      </c>
      <c r="U274" s="136" t="s">
        <v>154</v>
      </c>
      <c r="V274" s="75">
        <v>0</v>
      </c>
      <c r="W274" s="75" t="s">
        <v>154</v>
      </c>
      <c r="X274" s="75">
        <v>0</v>
      </c>
      <c r="Y274" s="136" t="s">
        <v>154</v>
      </c>
      <c r="Z274" s="75">
        <v>0</v>
      </c>
      <c r="AA274" s="136" t="s">
        <v>154</v>
      </c>
      <c r="AB274" s="129">
        <v>0</v>
      </c>
      <c r="AC274" s="144" t="s">
        <v>153</v>
      </c>
    </row>
    <row r="275" spans="2:29" hidden="1" outlineLevel="1" x14ac:dyDescent="0.25">
      <c r="B275" t="s">
        <v>24</v>
      </c>
      <c r="C275" t="s">
        <v>154</v>
      </c>
      <c r="D275" s="78">
        <v>0</v>
      </c>
      <c r="E275" t="s">
        <v>154</v>
      </c>
      <c r="F275">
        <v>0</v>
      </c>
      <c r="G275" t="s">
        <v>154</v>
      </c>
      <c r="H275" s="2">
        <v>0</v>
      </c>
      <c r="I275" s="2" t="s">
        <v>154</v>
      </c>
      <c r="J275">
        <v>0</v>
      </c>
      <c r="K275" s="2" t="s">
        <v>154</v>
      </c>
      <c r="L275" s="2">
        <v>0</v>
      </c>
      <c r="M275" s="2" t="s">
        <v>154</v>
      </c>
      <c r="N275" s="2">
        <v>0.64700000000000002</v>
      </c>
      <c r="O275" s="2" t="s">
        <v>154</v>
      </c>
      <c r="P275" s="71" t="s">
        <v>155</v>
      </c>
      <c r="Q275" s="79" t="s">
        <v>154</v>
      </c>
      <c r="R275">
        <v>0.26300000000000001</v>
      </c>
      <c r="S275" s="2" t="s">
        <v>154</v>
      </c>
      <c r="T275">
        <v>0</v>
      </c>
      <c r="U275" s="79" t="s">
        <v>154</v>
      </c>
      <c r="V275">
        <v>0</v>
      </c>
      <c r="W275" t="s">
        <v>154</v>
      </c>
      <c r="X275">
        <v>0</v>
      </c>
      <c r="Y275" s="79" t="s">
        <v>154</v>
      </c>
      <c r="Z275">
        <v>0</v>
      </c>
      <c r="AA275" s="79" t="s">
        <v>154</v>
      </c>
      <c r="AB275" s="4">
        <v>0</v>
      </c>
      <c r="AC275" s="144" t="s">
        <v>153</v>
      </c>
    </row>
    <row r="276" spans="2:29" hidden="1" outlineLevel="1" x14ac:dyDescent="0.25">
      <c r="B276" t="s">
        <v>26</v>
      </c>
      <c r="C276" t="s">
        <v>154</v>
      </c>
      <c r="D276" s="78">
        <v>0</v>
      </c>
      <c r="E276" t="s">
        <v>154</v>
      </c>
      <c r="F276">
        <v>0.64700000000000002</v>
      </c>
      <c r="G276" t="s">
        <v>154</v>
      </c>
      <c r="H276" s="2">
        <v>0</v>
      </c>
      <c r="I276" s="2" t="s">
        <v>154</v>
      </c>
      <c r="J276" s="71" t="s">
        <v>155</v>
      </c>
      <c r="K276" s="2" t="s">
        <v>154</v>
      </c>
      <c r="L276" s="2">
        <v>0.26300000000000001</v>
      </c>
      <c r="M276" s="2" t="s">
        <v>154</v>
      </c>
      <c r="N276" s="2">
        <v>0</v>
      </c>
      <c r="O276" s="2" t="s">
        <v>154</v>
      </c>
      <c r="P276">
        <v>0</v>
      </c>
      <c r="Q276" s="79" t="s">
        <v>154</v>
      </c>
      <c r="R276">
        <v>0</v>
      </c>
      <c r="S276" s="2" t="s">
        <v>154</v>
      </c>
      <c r="T276">
        <v>0</v>
      </c>
      <c r="U276" s="79" t="s">
        <v>154</v>
      </c>
      <c r="V276">
        <v>0</v>
      </c>
      <c r="W276" t="s">
        <v>154</v>
      </c>
      <c r="X276">
        <v>0</v>
      </c>
      <c r="Y276" s="79" t="s">
        <v>154</v>
      </c>
      <c r="Z276">
        <v>0</v>
      </c>
      <c r="AA276" s="79" t="s">
        <v>154</v>
      </c>
      <c r="AB276" s="4">
        <v>0</v>
      </c>
      <c r="AC276" s="144" t="s">
        <v>153</v>
      </c>
    </row>
    <row r="277" spans="2:29" hidden="1" outlineLevel="1" x14ac:dyDescent="0.25">
      <c r="B277" t="s">
        <v>37</v>
      </c>
      <c r="C277" t="s">
        <v>154</v>
      </c>
      <c r="D277" s="78">
        <v>0</v>
      </c>
      <c r="E277" t="s">
        <v>154</v>
      </c>
      <c r="F277">
        <v>0</v>
      </c>
      <c r="G277" t="s">
        <v>154</v>
      </c>
      <c r="H277" s="2">
        <v>0</v>
      </c>
      <c r="I277" s="2" t="s">
        <v>154</v>
      </c>
      <c r="J277">
        <v>0</v>
      </c>
      <c r="K277" s="2" t="s">
        <v>154</v>
      </c>
      <c r="L277" s="2">
        <v>0</v>
      </c>
      <c r="M277" s="2" t="s">
        <v>154</v>
      </c>
      <c r="N277" s="2">
        <v>0</v>
      </c>
      <c r="O277" s="2" t="s">
        <v>154</v>
      </c>
      <c r="P277">
        <v>0</v>
      </c>
      <c r="Q277" s="79" t="s">
        <v>154</v>
      </c>
      <c r="R277">
        <v>0</v>
      </c>
      <c r="S277" s="2" t="s">
        <v>154</v>
      </c>
      <c r="T277" s="71" t="s">
        <v>155</v>
      </c>
      <c r="U277" s="79" t="s">
        <v>154</v>
      </c>
      <c r="V277">
        <v>0</v>
      </c>
      <c r="W277" t="s">
        <v>154</v>
      </c>
      <c r="X277">
        <v>0.64700000000000002</v>
      </c>
      <c r="Y277" s="79" t="s">
        <v>154</v>
      </c>
      <c r="Z277">
        <v>0</v>
      </c>
      <c r="AA277" s="79" t="s">
        <v>154</v>
      </c>
      <c r="AB277" s="4">
        <v>0</v>
      </c>
      <c r="AC277" s="144" t="s">
        <v>153</v>
      </c>
    </row>
    <row r="278" spans="2:29" hidden="1" outlineLevel="1" x14ac:dyDescent="0.25">
      <c r="B278" t="s">
        <v>27</v>
      </c>
      <c r="C278" t="s">
        <v>154</v>
      </c>
      <c r="D278" s="78">
        <v>0</v>
      </c>
      <c r="E278" t="s">
        <v>154</v>
      </c>
      <c r="F278">
        <v>0</v>
      </c>
      <c r="G278" t="s">
        <v>154</v>
      </c>
      <c r="H278" s="2">
        <v>0</v>
      </c>
      <c r="I278" s="2" t="s">
        <v>154</v>
      </c>
      <c r="J278">
        <v>0</v>
      </c>
      <c r="K278" s="2" t="s">
        <v>154</v>
      </c>
      <c r="L278" s="2">
        <v>0</v>
      </c>
      <c r="M278" s="2" t="s">
        <v>154</v>
      </c>
      <c r="N278" s="2">
        <v>0</v>
      </c>
      <c r="O278" s="2" t="s">
        <v>154</v>
      </c>
      <c r="P278">
        <v>0.64700000000000002</v>
      </c>
      <c r="Q278" s="79" t="s">
        <v>154</v>
      </c>
      <c r="R278">
        <v>0</v>
      </c>
      <c r="S278" s="2" t="s">
        <v>154</v>
      </c>
      <c r="T278">
        <v>0</v>
      </c>
      <c r="U278" s="79" t="s">
        <v>154</v>
      </c>
      <c r="V278">
        <v>0.26300000000000001</v>
      </c>
      <c r="W278" t="s">
        <v>154</v>
      </c>
      <c r="X278">
        <v>0</v>
      </c>
      <c r="Y278" s="79" t="s">
        <v>154</v>
      </c>
      <c r="Z278" t="s">
        <v>155</v>
      </c>
      <c r="AA278" s="79" t="s">
        <v>154</v>
      </c>
      <c r="AB278" s="4">
        <v>0.26300000000000001</v>
      </c>
      <c r="AC278" s="144" t="s">
        <v>153</v>
      </c>
    </row>
    <row r="279" spans="2:29" hidden="1" outlineLevel="1" x14ac:dyDescent="0.25">
      <c r="B279" t="s">
        <v>109</v>
      </c>
      <c r="C279" t="s">
        <v>154</v>
      </c>
      <c r="D279" s="78">
        <v>0.64700000000000002</v>
      </c>
      <c r="E279" t="s">
        <v>154</v>
      </c>
      <c r="F279" s="71" t="s">
        <v>155</v>
      </c>
      <c r="G279" t="s">
        <v>154</v>
      </c>
      <c r="H279" s="2">
        <v>0.26300000000000001</v>
      </c>
      <c r="I279" s="2" t="s">
        <v>154</v>
      </c>
      <c r="J279">
        <v>0</v>
      </c>
      <c r="K279" s="2" t="s">
        <v>154</v>
      </c>
      <c r="L279" s="2">
        <v>0</v>
      </c>
      <c r="M279" s="2" t="s">
        <v>154</v>
      </c>
      <c r="N279" s="2">
        <v>0</v>
      </c>
      <c r="O279" s="2" t="s">
        <v>154</v>
      </c>
      <c r="P279">
        <v>0</v>
      </c>
      <c r="Q279" s="79" t="s">
        <v>154</v>
      </c>
      <c r="R279">
        <v>0</v>
      </c>
      <c r="S279" s="2" t="s">
        <v>154</v>
      </c>
      <c r="T279">
        <v>0</v>
      </c>
      <c r="U279" s="79" t="s">
        <v>154</v>
      </c>
      <c r="V279">
        <v>0</v>
      </c>
      <c r="W279" t="s">
        <v>154</v>
      </c>
      <c r="X279">
        <v>0</v>
      </c>
      <c r="Y279" s="79" t="s">
        <v>154</v>
      </c>
      <c r="Z279">
        <v>0</v>
      </c>
      <c r="AA279" s="79" t="s">
        <v>154</v>
      </c>
      <c r="AB279" s="4">
        <v>0</v>
      </c>
      <c r="AC279" s="144" t="s">
        <v>153</v>
      </c>
    </row>
    <row r="280" spans="2:29" hidden="1" outlineLevel="1" x14ac:dyDescent="0.25">
      <c r="B280" t="s">
        <v>111</v>
      </c>
      <c r="C280" t="s">
        <v>154</v>
      </c>
      <c r="D280" s="78">
        <v>0</v>
      </c>
      <c r="E280" t="s">
        <v>154</v>
      </c>
      <c r="F280">
        <v>0</v>
      </c>
      <c r="G280" t="s">
        <v>154</v>
      </c>
      <c r="H280" s="2">
        <v>0</v>
      </c>
      <c r="I280" s="2" t="s">
        <v>154</v>
      </c>
      <c r="J280">
        <v>0</v>
      </c>
      <c r="K280" s="2" t="s">
        <v>154</v>
      </c>
      <c r="L280" s="2">
        <v>0</v>
      </c>
      <c r="M280" s="2" t="s">
        <v>154</v>
      </c>
      <c r="N280" s="2">
        <v>0.64700000000000002</v>
      </c>
      <c r="O280" s="2" t="s">
        <v>154</v>
      </c>
      <c r="P280" s="71" t="s">
        <v>155</v>
      </c>
      <c r="Q280" s="79" t="s">
        <v>154</v>
      </c>
      <c r="R280">
        <v>0.26300000000000001</v>
      </c>
      <c r="S280" s="2" t="s">
        <v>154</v>
      </c>
      <c r="T280">
        <v>0</v>
      </c>
      <c r="U280" s="79" t="s">
        <v>154</v>
      </c>
      <c r="V280">
        <v>0</v>
      </c>
      <c r="W280" t="s">
        <v>154</v>
      </c>
      <c r="X280">
        <v>0</v>
      </c>
      <c r="Y280" s="79" t="s">
        <v>154</v>
      </c>
      <c r="Z280">
        <v>0</v>
      </c>
      <c r="AA280" s="79" t="s">
        <v>154</v>
      </c>
      <c r="AB280" s="4">
        <v>0</v>
      </c>
      <c r="AC280" s="144" t="s">
        <v>153</v>
      </c>
    </row>
    <row r="281" spans="2:29" hidden="1" outlineLevel="1" x14ac:dyDescent="0.25">
      <c r="B281" t="s">
        <v>110</v>
      </c>
      <c r="C281" t="s">
        <v>154</v>
      </c>
      <c r="D281" s="78">
        <v>0</v>
      </c>
      <c r="E281" t="s">
        <v>154</v>
      </c>
      <c r="F281">
        <v>0.64700000000000002</v>
      </c>
      <c r="G281" t="s">
        <v>154</v>
      </c>
      <c r="H281" s="2">
        <v>0</v>
      </c>
      <c r="I281" s="2" t="s">
        <v>154</v>
      </c>
      <c r="J281" s="71" t="s">
        <v>155</v>
      </c>
      <c r="K281" s="2" t="s">
        <v>154</v>
      </c>
      <c r="L281" s="2">
        <v>0.26300000000000001</v>
      </c>
      <c r="M281" s="2" t="s">
        <v>154</v>
      </c>
      <c r="N281" s="2">
        <v>0</v>
      </c>
      <c r="O281" s="2" t="s">
        <v>154</v>
      </c>
      <c r="P281">
        <v>0</v>
      </c>
      <c r="Q281" s="79" t="s">
        <v>154</v>
      </c>
      <c r="R281">
        <v>0</v>
      </c>
      <c r="S281" s="2" t="s">
        <v>154</v>
      </c>
      <c r="T281">
        <v>0</v>
      </c>
      <c r="U281" s="79" t="s">
        <v>154</v>
      </c>
      <c r="V281">
        <v>0</v>
      </c>
      <c r="W281" t="s">
        <v>154</v>
      </c>
      <c r="X281">
        <v>0</v>
      </c>
      <c r="Y281" s="79" t="s">
        <v>154</v>
      </c>
      <c r="Z281">
        <v>0</v>
      </c>
      <c r="AA281" s="79" t="s">
        <v>154</v>
      </c>
      <c r="AB281" s="4">
        <v>0</v>
      </c>
      <c r="AC281" s="144" t="s">
        <v>153</v>
      </c>
    </row>
    <row r="282" spans="2:29" hidden="1" outlineLevel="1" x14ac:dyDescent="0.25">
      <c r="B282" t="s">
        <v>114</v>
      </c>
      <c r="C282" t="s">
        <v>154</v>
      </c>
      <c r="D282" s="78">
        <v>0</v>
      </c>
      <c r="E282" t="s">
        <v>154</v>
      </c>
      <c r="F282">
        <v>0</v>
      </c>
      <c r="G282" t="s">
        <v>154</v>
      </c>
      <c r="H282" s="2">
        <v>0</v>
      </c>
      <c r="I282" s="2" t="s">
        <v>154</v>
      </c>
      <c r="J282">
        <v>0</v>
      </c>
      <c r="K282" s="2" t="s">
        <v>154</v>
      </c>
      <c r="L282" s="2">
        <v>0</v>
      </c>
      <c r="M282" s="2" t="s">
        <v>154</v>
      </c>
      <c r="N282" s="2">
        <v>0.64700000000000002</v>
      </c>
      <c r="O282" s="2" t="s">
        <v>154</v>
      </c>
      <c r="P282" s="71" t="s">
        <v>155</v>
      </c>
      <c r="Q282" s="79" t="s">
        <v>154</v>
      </c>
      <c r="R282">
        <v>0.26300000000000001</v>
      </c>
      <c r="S282" s="2" t="s">
        <v>154</v>
      </c>
      <c r="T282">
        <v>0</v>
      </c>
      <c r="U282" s="79" t="s">
        <v>154</v>
      </c>
      <c r="V282">
        <v>0</v>
      </c>
      <c r="W282" t="s">
        <v>154</v>
      </c>
      <c r="X282">
        <v>0</v>
      </c>
      <c r="Y282" s="79" t="s">
        <v>154</v>
      </c>
      <c r="Z282">
        <v>0</v>
      </c>
      <c r="AA282" s="79" t="s">
        <v>154</v>
      </c>
      <c r="AB282" s="4">
        <v>0</v>
      </c>
      <c r="AC282" s="144" t="s">
        <v>153</v>
      </c>
    </row>
    <row r="283" spans="2:29" hidden="1" outlineLevel="1" x14ac:dyDescent="0.25">
      <c r="B283" t="s">
        <v>113</v>
      </c>
      <c r="C283" t="s">
        <v>154</v>
      </c>
      <c r="D283" s="78">
        <v>0</v>
      </c>
      <c r="E283" t="s">
        <v>154</v>
      </c>
      <c r="F283">
        <v>0.64700000000000002</v>
      </c>
      <c r="G283" t="s">
        <v>154</v>
      </c>
      <c r="H283" s="2">
        <v>0</v>
      </c>
      <c r="I283" s="2" t="s">
        <v>154</v>
      </c>
      <c r="J283" s="71" t="s">
        <v>155</v>
      </c>
      <c r="K283" s="2" t="s">
        <v>154</v>
      </c>
      <c r="L283" s="2">
        <v>0.26300000000000001</v>
      </c>
      <c r="M283" s="2" t="s">
        <v>154</v>
      </c>
      <c r="N283" s="2">
        <v>0</v>
      </c>
      <c r="O283" s="2" t="s">
        <v>154</v>
      </c>
      <c r="P283">
        <v>0</v>
      </c>
      <c r="Q283" s="79" t="s">
        <v>154</v>
      </c>
      <c r="R283">
        <v>0</v>
      </c>
      <c r="S283" s="2" t="s">
        <v>154</v>
      </c>
      <c r="T283">
        <v>0</v>
      </c>
      <c r="U283" s="79" t="s">
        <v>154</v>
      </c>
      <c r="V283">
        <v>0</v>
      </c>
      <c r="W283" t="s">
        <v>154</v>
      </c>
      <c r="X283">
        <v>0</v>
      </c>
      <c r="Y283" s="79" t="s">
        <v>154</v>
      </c>
      <c r="Z283">
        <v>0</v>
      </c>
      <c r="AA283" s="79" t="s">
        <v>154</v>
      </c>
      <c r="AB283" s="4">
        <v>0</v>
      </c>
      <c r="AC283" s="144" t="s">
        <v>153</v>
      </c>
    </row>
    <row r="284" spans="2:29" hidden="1" outlineLevel="1" x14ac:dyDescent="0.25">
      <c r="B284" t="s">
        <v>112</v>
      </c>
      <c r="C284" t="s">
        <v>154</v>
      </c>
      <c r="D284" s="78">
        <v>0.64700000000000002</v>
      </c>
      <c r="E284" t="s">
        <v>154</v>
      </c>
      <c r="F284" s="71" t="s">
        <v>155</v>
      </c>
      <c r="G284" t="s">
        <v>154</v>
      </c>
      <c r="H284" s="2">
        <v>0.26300000000000001</v>
      </c>
      <c r="I284" s="2" t="s">
        <v>154</v>
      </c>
      <c r="J284">
        <v>0</v>
      </c>
      <c r="K284" s="2" t="s">
        <v>154</v>
      </c>
      <c r="L284" s="2">
        <v>0</v>
      </c>
      <c r="M284" s="2" t="s">
        <v>154</v>
      </c>
      <c r="N284" s="2">
        <v>0</v>
      </c>
      <c r="O284" s="2" t="s">
        <v>154</v>
      </c>
      <c r="P284">
        <v>0</v>
      </c>
      <c r="Q284" s="79" t="s">
        <v>154</v>
      </c>
      <c r="R284">
        <v>0</v>
      </c>
      <c r="S284" s="2" t="s">
        <v>154</v>
      </c>
      <c r="T284">
        <v>0</v>
      </c>
      <c r="U284" s="79" t="s">
        <v>154</v>
      </c>
      <c r="V284">
        <v>0</v>
      </c>
      <c r="W284" t="s">
        <v>154</v>
      </c>
      <c r="X284">
        <v>0</v>
      </c>
      <c r="Y284" s="79" t="s">
        <v>154</v>
      </c>
      <c r="Z284">
        <v>0</v>
      </c>
      <c r="AA284" s="79" t="s">
        <v>154</v>
      </c>
      <c r="AB284" s="4">
        <v>0</v>
      </c>
      <c r="AC284" s="144" t="s">
        <v>153</v>
      </c>
    </row>
    <row r="285" spans="2:29" hidden="1" outlineLevel="1" x14ac:dyDescent="0.25">
      <c r="B285" t="s">
        <v>116</v>
      </c>
      <c r="C285" t="s">
        <v>154</v>
      </c>
      <c r="D285" s="78">
        <v>0</v>
      </c>
      <c r="E285" t="s">
        <v>154</v>
      </c>
      <c r="F285">
        <v>0</v>
      </c>
      <c r="G285" t="s">
        <v>154</v>
      </c>
      <c r="H285" s="2">
        <v>0</v>
      </c>
      <c r="I285" s="2" t="s">
        <v>154</v>
      </c>
      <c r="J285">
        <v>0</v>
      </c>
      <c r="K285" s="2" t="s">
        <v>154</v>
      </c>
      <c r="L285" s="2">
        <v>0</v>
      </c>
      <c r="M285" s="2" t="s">
        <v>154</v>
      </c>
      <c r="N285" s="2">
        <v>0</v>
      </c>
      <c r="O285" s="2" t="s">
        <v>154</v>
      </c>
      <c r="P285">
        <v>0</v>
      </c>
      <c r="Q285" s="79" t="s">
        <v>154</v>
      </c>
      <c r="R285">
        <v>0</v>
      </c>
      <c r="S285" s="2" t="s">
        <v>154</v>
      </c>
      <c r="T285" s="71" t="s">
        <v>155</v>
      </c>
      <c r="U285" s="79" t="s">
        <v>154</v>
      </c>
      <c r="V285">
        <v>0</v>
      </c>
      <c r="W285" t="s">
        <v>154</v>
      </c>
      <c r="X285">
        <v>0.64700000000000002</v>
      </c>
      <c r="Y285" s="79" t="s">
        <v>154</v>
      </c>
      <c r="Z285">
        <v>0</v>
      </c>
      <c r="AA285" s="79" t="s">
        <v>154</v>
      </c>
      <c r="AB285" s="4">
        <v>0</v>
      </c>
      <c r="AC285" s="144" t="s">
        <v>153</v>
      </c>
    </row>
    <row r="286" spans="2:29" hidden="1" outlineLevel="1" x14ac:dyDescent="0.25">
      <c r="B286" t="s">
        <v>115</v>
      </c>
      <c r="C286" s="72" t="s">
        <v>154</v>
      </c>
      <c r="D286" s="76">
        <v>0</v>
      </c>
      <c r="E286" s="72" t="s">
        <v>154</v>
      </c>
      <c r="F286" s="72">
        <v>0</v>
      </c>
      <c r="G286" s="72" t="s">
        <v>154</v>
      </c>
      <c r="H286" s="7">
        <v>0</v>
      </c>
      <c r="I286" s="7" t="s">
        <v>154</v>
      </c>
      <c r="J286" s="72">
        <v>0</v>
      </c>
      <c r="K286" s="7" t="s">
        <v>154</v>
      </c>
      <c r="L286" s="7">
        <v>0</v>
      </c>
      <c r="M286" s="7" t="s">
        <v>154</v>
      </c>
      <c r="N286" s="7">
        <v>0</v>
      </c>
      <c r="O286" s="7" t="s">
        <v>154</v>
      </c>
      <c r="P286" s="72">
        <v>0.64700000000000002</v>
      </c>
      <c r="Q286" s="80" t="s">
        <v>154</v>
      </c>
      <c r="R286" s="72">
        <v>0</v>
      </c>
      <c r="S286" s="7" t="s">
        <v>154</v>
      </c>
      <c r="T286" s="72">
        <v>0</v>
      </c>
      <c r="U286" s="80" t="s">
        <v>154</v>
      </c>
      <c r="V286" s="72">
        <v>0.26300000000000001</v>
      </c>
      <c r="W286" s="72" t="s">
        <v>154</v>
      </c>
      <c r="X286" s="72">
        <v>0</v>
      </c>
      <c r="Y286" s="80" t="s">
        <v>154</v>
      </c>
      <c r="Z286" s="72" t="s">
        <v>155</v>
      </c>
      <c r="AA286" s="80" t="s">
        <v>154</v>
      </c>
      <c r="AB286" s="118">
        <v>0.26300000000000001</v>
      </c>
      <c r="AC286" s="144" t="s">
        <v>153</v>
      </c>
    </row>
    <row r="287" spans="2:29" hidden="1" outlineLevel="1" x14ac:dyDescent="0.25">
      <c r="D287" s="71"/>
      <c r="E287"/>
      <c r="G287"/>
      <c r="H287" s="2"/>
      <c r="AC287" s="144"/>
    </row>
    <row r="288" spans="2:29" hidden="1" outlineLevel="1" x14ac:dyDescent="0.25">
      <c r="B288" t="s">
        <v>156</v>
      </c>
      <c r="D288" s="71">
        <f>SUM(D274:D286)</f>
        <v>1.9410000000000001</v>
      </c>
      <c r="E288">
        <f>SUM(E274:E286)</f>
        <v>0</v>
      </c>
      <c r="F288">
        <f>SUM(F274:F286)</f>
        <v>1.9410000000000001</v>
      </c>
      <c r="G288">
        <f>SUM(G274:G286)</f>
        <v>0</v>
      </c>
      <c r="H288">
        <f>SUM(H274:H286)</f>
        <v>0.78900000000000003</v>
      </c>
      <c r="J288">
        <f>SUM(J274:J286)</f>
        <v>0</v>
      </c>
      <c r="L288" s="2">
        <f>SUM(L274:L286)</f>
        <v>0.78900000000000003</v>
      </c>
      <c r="N288" s="2">
        <f>SUM(N274:N286)</f>
        <v>1.9410000000000001</v>
      </c>
      <c r="P288">
        <f>SUM(P274:P286)</f>
        <v>1.294</v>
      </c>
      <c r="R288">
        <f>SUM(R274:R286)</f>
        <v>0.78900000000000003</v>
      </c>
      <c r="T288">
        <f>SUM(T274:T286)</f>
        <v>0</v>
      </c>
      <c r="V288">
        <f>SUM(V274:V286)</f>
        <v>0.52600000000000002</v>
      </c>
    </row>
    <row r="289" spans="2:28" hidden="1" outlineLevel="1" x14ac:dyDescent="0.25">
      <c r="B289" t="s">
        <v>157</v>
      </c>
      <c r="D289" s="71">
        <f>IF(D288=C271,1,0)</f>
        <v>1</v>
      </c>
      <c r="E289"/>
      <c r="F289">
        <f>IF(F288=D271,1,0)</f>
        <v>1</v>
      </c>
      <c r="G289"/>
      <c r="H289">
        <f>IF(H288=E271,1,0)</f>
        <v>1</v>
      </c>
      <c r="J289">
        <f>IF(J288=F271,1,0)</f>
        <v>1</v>
      </c>
      <c r="L289" s="2">
        <f>IF(L288=G271,1,0)</f>
        <v>1</v>
      </c>
      <c r="N289" s="2">
        <f>IF(N288=H271,1,0)</f>
        <v>1</v>
      </c>
      <c r="P289">
        <f>IF(P288=I271,1,0)</f>
        <v>1</v>
      </c>
      <c r="R289">
        <f>IF(R288=J271,1,0)</f>
        <v>1</v>
      </c>
      <c r="T289">
        <f>IF(T288=K271,1,0)</f>
        <v>1</v>
      </c>
      <c r="V289">
        <f>IF(V288=L271,1,0)</f>
        <v>1</v>
      </c>
      <c r="X289">
        <f>IF(X288=M271,1,0)</f>
        <v>0</v>
      </c>
      <c r="Z289">
        <f>IF(Z288=N271,1,0)</f>
        <v>1</v>
      </c>
      <c r="AB289">
        <f>IF(AB288=O271,1,0)</f>
        <v>0</v>
      </c>
    </row>
    <row r="290" spans="2:28" collapsed="1" x14ac:dyDescent="0.25">
      <c r="D290" s="71"/>
    </row>
    <row r="291" spans="2:28" x14ac:dyDescent="0.25">
      <c r="D291" s="71"/>
    </row>
    <row r="292" spans="2:28" x14ac:dyDescent="0.25">
      <c r="D292" s="71"/>
    </row>
    <row r="293" spans="2:28" x14ac:dyDescent="0.25">
      <c r="D293" s="71"/>
    </row>
    <row r="309" spans="2:7" x14ac:dyDescent="0.25">
      <c r="B309" t="s">
        <v>219</v>
      </c>
      <c r="C309" t="s">
        <v>248</v>
      </c>
      <c r="E309" s="83" t="s">
        <v>219</v>
      </c>
      <c r="F309" s="151" t="s">
        <v>45</v>
      </c>
      <c r="G309" s="152" t="s">
        <v>119</v>
      </c>
    </row>
    <row r="310" spans="2:7" x14ac:dyDescent="0.25">
      <c r="B310">
        <v>1</v>
      </c>
      <c r="C310" s="159">
        <v>1</v>
      </c>
      <c r="E310" s="167">
        <v>1</v>
      </c>
      <c r="F310" s="168" t="s">
        <v>160</v>
      </c>
      <c r="G310" s="24" t="s">
        <v>118</v>
      </c>
    </row>
    <row r="311" spans="2:7" x14ac:dyDescent="0.25">
      <c r="B311">
        <v>2</v>
      </c>
      <c r="C311" s="159">
        <v>1</v>
      </c>
      <c r="E311" s="167">
        <v>2</v>
      </c>
      <c r="F311" s="168" t="s">
        <v>164</v>
      </c>
      <c r="G311" s="24" t="s">
        <v>118</v>
      </c>
    </row>
    <row r="312" spans="2:7" x14ac:dyDescent="0.25">
      <c r="B312">
        <v>3</v>
      </c>
      <c r="C312" s="159">
        <v>1</v>
      </c>
      <c r="E312" s="167">
        <v>3</v>
      </c>
      <c r="F312" s="168" t="s">
        <v>163</v>
      </c>
      <c r="G312" s="24" t="s">
        <v>118</v>
      </c>
    </row>
    <row r="313" spans="2:7" x14ac:dyDescent="0.25">
      <c r="B313">
        <v>4</v>
      </c>
      <c r="C313" s="159">
        <v>1</v>
      </c>
      <c r="E313" s="169">
        <v>4</v>
      </c>
      <c r="F313" s="170" t="s">
        <v>170</v>
      </c>
      <c r="G313" s="24" t="s">
        <v>118</v>
      </c>
    </row>
    <row r="314" spans="2:7" x14ac:dyDescent="0.25">
      <c r="B314">
        <v>5</v>
      </c>
      <c r="C314" s="159">
        <v>1</v>
      </c>
      <c r="E314" s="169">
        <v>5</v>
      </c>
      <c r="F314" s="170" t="s">
        <v>169</v>
      </c>
      <c r="G314" s="24" t="s">
        <v>118</v>
      </c>
    </row>
    <row r="315" spans="2:7" x14ac:dyDescent="0.25">
      <c r="B315">
        <v>6</v>
      </c>
      <c r="C315" s="159">
        <v>1</v>
      </c>
      <c r="E315" s="167">
        <v>6</v>
      </c>
      <c r="F315" s="168" t="s">
        <v>168</v>
      </c>
      <c r="G315" s="24" t="s">
        <v>118</v>
      </c>
    </row>
    <row r="316" spans="2:7" x14ac:dyDescent="0.25">
      <c r="B316">
        <v>7</v>
      </c>
      <c r="C316" s="159">
        <v>1</v>
      </c>
      <c r="E316" s="169">
        <v>7</v>
      </c>
      <c r="F316" s="170" t="s">
        <v>171</v>
      </c>
      <c r="G316" s="24" t="s">
        <v>118</v>
      </c>
    </row>
    <row r="317" spans="2:7" x14ac:dyDescent="0.25">
      <c r="B317">
        <v>8</v>
      </c>
      <c r="C317" s="159">
        <v>1</v>
      </c>
      <c r="E317" s="169">
        <v>8</v>
      </c>
      <c r="F317" s="170" t="s">
        <v>167</v>
      </c>
      <c r="G317" s="24" t="s">
        <v>118</v>
      </c>
    </row>
    <row r="318" spans="2:7" x14ac:dyDescent="0.25">
      <c r="B318">
        <v>9</v>
      </c>
      <c r="C318" s="159">
        <v>1</v>
      </c>
      <c r="E318" s="167">
        <v>9</v>
      </c>
      <c r="F318" s="168" t="s">
        <v>166</v>
      </c>
      <c r="G318" s="24" t="s">
        <v>118</v>
      </c>
    </row>
    <row r="319" spans="2:7" x14ac:dyDescent="0.25">
      <c r="B319">
        <v>10</v>
      </c>
      <c r="C319" s="159">
        <v>1</v>
      </c>
      <c r="E319" s="169">
        <v>10</v>
      </c>
      <c r="F319" s="170" t="s">
        <v>174</v>
      </c>
      <c r="G319" s="24" t="s">
        <v>118</v>
      </c>
    </row>
    <row r="320" spans="2:7" x14ac:dyDescent="0.25">
      <c r="B320">
        <v>11</v>
      </c>
      <c r="C320" s="159">
        <v>1</v>
      </c>
      <c r="E320" s="169">
        <v>11</v>
      </c>
      <c r="F320" s="170" t="s">
        <v>173</v>
      </c>
      <c r="G320" s="24" t="s">
        <v>118</v>
      </c>
    </row>
    <row r="321" spans="2:7" x14ac:dyDescent="0.25">
      <c r="B321">
        <v>12</v>
      </c>
      <c r="C321" s="159">
        <v>1</v>
      </c>
      <c r="E321" s="169">
        <v>12</v>
      </c>
      <c r="F321" s="170" t="s">
        <v>172</v>
      </c>
      <c r="G321" s="24" t="s">
        <v>118</v>
      </c>
    </row>
    <row r="322" spans="2:7" x14ac:dyDescent="0.25">
      <c r="B322">
        <v>13</v>
      </c>
      <c r="C322" s="159">
        <v>1</v>
      </c>
      <c r="E322" s="169">
        <v>13</v>
      </c>
      <c r="F322" s="170" t="s">
        <v>177</v>
      </c>
      <c r="G322" s="24" t="s">
        <v>118</v>
      </c>
    </row>
    <row r="323" spans="2:7" x14ac:dyDescent="0.25">
      <c r="B323">
        <v>14</v>
      </c>
      <c r="C323" s="159">
        <v>1</v>
      </c>
      <c r="E323" s="169">
        <v>14</v>
      </c>
      <c r="F323" s="171" t="s">
        <v>176</v>
      </c>
      <c r="G323" s="24" t="s">
        <v>118</v>
      </c>
    </row>
    <row r="324" spans="2:7" x14ac:dyDescent="0.25">
      <c r="B324">
        <v>15</v>
      </c>
      <c r="C324" s="159">
        <v>1</v>
      </c>
      <c r="E324" s="169">
        <v>15</v>
      </c>
      <c r="F324" s="170" t="s">
        <v>175</v>
      </c>
      <c r="G324" s="24" t="s">
        <v>118</v>
      </c>
    </row>
    <row r="325" spans="2:7" x14ac:dyDescent="0.25">
      <c r="B325">
        <v>16</v>
      </c>
      <c r="C325" s="159">
        <v>1</v>
      </c>
      <c r="E325" s="169">
        <v>16</v>
      </c>
      <c r="F325" s="170" t="s">
        <v>180</v>
      </c>
      <c r="G325" s="24" t="s">
        <v>118</v>
      </c>
    </row>
    <row r="326" spans="2:7" x14ac:dyDescent="0.25">
      <c r="B326">
        <v>17</v>
      </c>
      <c r="C326" s="159">
        <v>1</v>
      </c>
      <c r="E326" s="169">
        <v>17</v>
      </c>
      <c r="F326" s="170" t="s">
        <v>179</v>
      </c>
      <c r="G326" s="24" t="s">
        <v>118</v>
      </c>
    </row>
    <row r="327" spans="2:7" x14ac:dyDescent="0.25">
      <c r="B327">
        <v>18</v>
      </c>
      <c r="C327" s="159">
        <v>1</v>
      </c>
      <c r="E327" s="167">
        <v>18</v>
      </c>
      <c r="F327" s="168" t="s">
        <v>178</v>
      </c>
      <c r="G327" s="24" t="s">
        <v>118</v>
      </c>
    </row>
    <row r="328" spans="2:7" x14ac:dyDescent="0.25">
      <c r="B328">
        <v>19</v>
      </c>
      <c r="C328" s="159">
        <v>1</v>
      </c>
      <c r="E328" s="169">
        <v>19</v>
      </c>
      <c r="F328" s="170" t="s">
        <v>182</v>
      </c>
      <c r="G328" s="24" t="s">
        <v>118</v>
      </c>
    </row>
    <row r="329" spans="2:7" x14ac:dyDescent="0.25">
      <c r="B329">
        <v>20</v>
      </c>
      <c r="C329" s="159">
        <v>1</v>
      </c>
      <c r="E329" s="169">
        <v>20</v>
      </c>
      <c r="F329" s="170" t="s">
        <v>181</v>
      </c>
      <c r="G329" s="24" t="s">
        <v>118</v>
      </c>
    </row>
    <row r="330" spans="2:7" x14ac:dyDescent="0.25">
      <c r="B330">
        <v>21</v>
      </c>
      <c r="C330" s="159">
        <v>1</v>
      </c>
      <c r="E330" s="169">
        <v>21</v>
      </c>
      <c r="F330" s="170" t="s">
        <v>184</v>
      </c>
      <c r="G330" s="24" t="s">
        <v>118</v>
      </c>
    </row>
    <row r="331" spans="2:7" x14ac:dyDescent="0.25">
      <c r="B331">
        <v>22</v>
      </c>
      <c r="C331" s="159">
        <v>1</v>
      </c>
      <c r="E331" s="169">
        <v>22</v>
      </c>
      <c r="F331" s="170" t="s">
        <v>183</v>
      </c>
      <c r="G331" s="24" t="s">
        <v>118</v>
      </c>
    </row>
    <row r="332" spans="2:7" x14ac:dyDescent="0.25">
      <c r="B332">
        <v>23</v>
      </c>
      <c r="C332" s="159">
        <v>1</v>
      </c>
      <c r="E332" s="169">
        <v>23</v>
      </c>
      <c r="F332" s="170" t="s">
        <v>186</v>
      </c>
      <c r="G332" s="24" t="s">
        <v>118</v>
      </c>
    </row>
    <row r="333" spans="2:7" x14ac:dyDescent="0.25">
      <c r="B333">
        <v>24</v>
      </c>
      <c r="C333" s="159">
        <v>1</v>
      </c>
      <c r="E333" s="169">
        <v>24</v>
      </c>
      <c r="F333" s="170" t="s">
        <v>185</v>
      </c>
      <c r="G333" s="24" t="s">
        <v>118</v>
      </c>
    </row>
    <row r="334" spans="2:7" x14ac:dyDescent="0.25">
      <c r="B334">
        <v>25</v>
      </c>
      <c r="C334" s="159">
        <v>1</v>
      </c>
      <c r="E334" s="169">
        <v>25</v>
      </c>
      <c r="F334" s="170" t="s">
        <v>187</v>
      </c>
      <c r="G334" s="24" t="s">
        <v>118</v>
      </c>
    </row>
    <row r="335" spans="2:7" x14ac:dyDescent="0.25">
      <c r="B335">
        <v>26</v>
      </c>
      <c r="C335" s="159">
        <v>1</v>
      </c>
      <c r="E335" s="169">
        <v>26</v>
      </c>
      <c r="F335" s="170" t="s">
        <v>188</v>
      </c>
      <c r="G335" s="24" t="s">
        <v>118</v>
      </c>
    </row>
    <row r="336" spans="2:7" x14ac:dyDescent="0.25">
      <c r="B336">
        <v>27</v>
      </c>
      <c r="C336" s="159">
        <v>1</v>
      </c>
      <c r="E336" s="169">
        <v>27</v>
      </c>
      <c r="F336" s="171" t="s">
        <v>203</v>
      </c>
      <c r="G336" s="24" t="s">
        <v>118</v>
      </c>
    </row>
    <row r="337" spans="2:7" x14ac:dyDescent="0.25">
      <c r="B337">
        <v>28</v>
      </c>
      <c r="C337" s="159">
        <v>1</v>
      </c>
      <c r="E337" s="169">
        <v>28</v>
      </c>
      <c r="F337" s="171" t="s">
        <v>202</v>
      </c>
      <c r="G337" s="24" t="s">
        <v>118</v>
      </c>
    </row>
    <row r="338" spans="2:7" x14ac:dyDescent="0.25">
      <c r="B338">
        <v>29</v>
      </c>
      <c r="C338" s="159">
        <v>1</v>
      </c>
      <c r="E338" s="169">
        <v>29</v>
      </c>
      <c r="F338" s="171" t="s">
        <v>201</v>
      </c>
      <c r="G338" s="24" t="s">
        <v>118</v>
      </c>
    </row>
    <row r="339" spans="2:7" x14ac:dyDescent="0.25">
      <c r="B339">
        <v>30</v>
      </c>
      <c r="C339" s="159">
        <v>1</v>
      </c>
      <c r="E339" s="169">
        <v>30</v>
      </c>
      <c r="F339" s="171" t="s">
        <v>199</v>
      </c>
      <c r="G339" s="24" t="s">
        <v>118</v>
      </c>
    </row>
    <row r="340" spans="2:7" x14ac:dyDescent="0.25">
      <c r="B340">
        <v>31</v>
      </c>
      <c r="C340" s="159">
        <v>1</v>
      </c>
      <c r="E340" s="169">
        <v>31</v>
      </c>
      <c r="F340" s="171" t="s">
        <v>198</v>
      </c>
      <c r="G340" s="24" t="s">
        <v>118</v>
      </c>
    </row>
    <row r="341" spans="2:7" x14ac:dyDescent="0.25">
      <c r="B341">
        <v>32</v>
      </c>
      <c r="C341" s="159">
        <v>1</v>
      </c>
      <c r="E341" s="169">
        <v>32</v>
      </c>
      <c r="F341" s="170" t="s">
        <v>189</v>
      </c>
      <c r="G341" s="24" t="s">
        <v>118</v>
      </c>
    </row>
    <row r="342" spans="2:7" x14ac:dyDescent="0.25">
      <c r="B342">
        <v>33</v>
      </c>
      <c r="C342" s="159">
        <v>1</v>
      </c>
      <c r="E342" s="169">
        <v>33</v>
      </c>
      <c r="F342" s="170" t="s">
        <v>200</v>
      </c>
      <c r="G342" s="24" t="s">
        <v>118</v>
      </c>
    </row>
    <row r="343" spans="2:7" x14ac:dyDescent="0.25">
      <c r="B343">
        <v>34</v>
      </c>
      <c r="C343" s="159">
        <v>1</v>
      </c>
      <c r="E343" s="169">
        <v>34</v>
      </c>
      <c r="F343" s="170" t="s">
        <v>191</v>
      </c>
      <c r="G343" s="24" t="s">
        <v>118</v>
      </c>
    </row>
    <row r="344" spans="2:7" x14ac:dyDescent="0.25">
      <c r="B344">
        <v>35</v>
      </c>
      <c r="C344" s="159">
        <v>1</v>
      </c>
      <c r="E344" s="169">
        <v>35</v>
      </c>
      <c r="F344" s="170" t="s">
        <v>190</v>
      </c>
      <c r="G344" s="24" t="s">
        <v>118</v>
      </c>
    </row>
    <row r="345" spans="2:7" x14ac:dyDescent="0.25">
      <c r="B345">
        <v>36</v>
      </c>
      <c r="C345" s="159">
        <v>1</v>
      </c>
      <c r="E345" s="169">
        <v>36</v>
      </c>
      <c r="F345" s="170" t="s">
        <v>193</v>
      </c>
      <c r="G345" s="24" t="s">
        <v>118</v>
      </c>
    </row>
    <row r="346" spans="2:7" x14ac:dyDescent="0.25">
      <c r="B346">
        <v>37</v>
      </c>
      <c r="C346" s="159">
        <v>1</v>
      </c>
      <c r="E346" s="169">
        <v>37</v>
      </c>
      <c r="F346" s="170" t="s">
        <v>192</v>
      </c>
      <c r="G346" s="24" t="s">
        <v>118</v>
      </c>
    </row>
    <row r="347" spans="2:7" x14ac:dyDescent="0.25">
      <c r="B347">
        <v>38</v>
      </c>
      <c r="C347" s="159">
        <v>1</v>
      </c>
      <c r="E347" s="169">
        <v>38</v>
      </c>
      <c r="F347" s="170" t="s">
        <v>206</v>
      </c>
      <c r="G347" s="24" t="s">
        <v>118</v>
      </c>
    </row>
    <row r="348" spans="2:7" x14ac:dyDescent="0.25">
      <c r="B348">
        <v>39</v>
      </c>
      <c r="C348" s="159">
        <v>1</v>
      </c>
      <c r="E348" s="169">
        <v>39</v>
      </c>
      <c r="F348" s="170" t="s">
        <v>213</v>
      </c>
      <c r="G348" s="24" t="s">
        <v>118</v>
      </c>
    </row>
    <row r="349" spans="2:7" x14ac:dyDescent="0.25">
      <c r="B349">
        <v>40</v>
      </c>
      <c r="C349" s="159">
        <v>1</v>
      </c>
    </row>
    <row r="350" spans="2:7" x14ac:dyDescent="0.25">
      <c r="B350">
        <v>41</v>
      </c>
      <c r="C350" s="159">
        <v>1</v>
      </c>
    </row>
    <row r="351" spans="2:7" x14ac:dyDescent="0.25">
      <c r="B351">
        <v>42</v>
      </c>
      <c r="C351" s="159">
        <v>0</v>
      </c>
    </row>
    <row r="352" spans="2:7" x14ac:dyDescent="0.25">
      <c r="B352">
        <v>43</v>
      </c>
      <c r="C352" s="159">
        <v>0</v>
      </c>
    </row>
    <row r="353" spans="2:3" x14ac:dyDescent="0.25">
      <c r="B353">
        <v>44</v>
      </c>
      <c r="C353" s="159">
        <v>1</v>
      </c>
    </row>
    <row r="354" spans="2:3" x14ac:dyDescent="0.25">
      <c r="B354">
        <v>45</v>
      </c>
      <c r="C354" s="159">
        <v>1</v>
      </c>
    </row>
    <row r="355" spans="2:3" x14ac:dyDescent="0.25">
      <c r="B355">
        <v>46</v>
      </c>
      <c r="C355" s="159">
        <v>1</v>
      </c>
    </row>
    <row r="356" spans="2:3" x14ac:dyDescent="0.25">
      <c r="B356">
        <v>47</v>
      </c>
      <c r="C356" s="159">
        <v>1</v>
      </c>
    </row>
    <row r="357" spans="2:3" x14ac:dyDescent="0.25">
      <c r="B357">
        <v>48</v>
      </c>
      <c r="C357" s="159">
        <v>1</v>
      </c>
    </row>
    <row r="358" spans="2:3" x14ac:dyDescent="0.25">
      <c r="B358">
        <v>49</v>
      </c>
      <c r="C358" s="159">
        <v>1</v>
      </c>
    </row>
    <row r="359" spans="2:3" x14ac:dyDescent="0.25">
      <c r="B359">
        <v>50</v>
      </c>
      <c r="C359" s="159">
        <v>1</v>
      </c>
    </row>
    <row r="360" spans="2:3" x14ac:dyDescent="0.25">
      <c r="B360">
        <v>51</v>
      </c>
      <c r="C360" s="159">
        <v>1</v>
      </c>
    </row>
    <row r="361" spans="2:3" x14ac:dyDescent="0.25">
      <c r="B361">
        <v>52</v>
      </c>
      <c r="C361" s="159">
        <v>1</v>
      </c>
    </row>
    <row r="362" spans="2:3" x14ac:dyDescent="0.25">
      <c r="B362">
        <v>53</v>
      </c>
      <c r="C362" s="159">
        <v>1</v>
      </c>
    </row>
    <row r="363" spans="2:3" x14ac:dyDescent="0.25">
      <c r="B363">
        <v>54</v>
      </c>
      <c r="C363" s="159">
        <v>1</v>
      </c>
    </row>
    <row r="364" spans="2:3" x14ac:dyDescent="0.25">
      <c r="B364">
        <v>55</v>
      </c>
      <c r="C364" s="159">
        <v>1</v>
      </c>
    </row>
  </sheetData>
  <autoFilter ref="B175:E230" xr:uid="{36DE504D-6907-4336-ADCC-C88303A11056}">
    <filterColumn colId="2">
      <filters>
        <filter val="REACHABLE"/>
      </filters>
    </filterColumn>
  </autoFilter>
  <mergeCells count="4">
    <mergeCell ref="A1:Q1"/>
    <mergeCell ref="B232:D232"/>
    <mergeCell ref="B233:C233"/>
    <mergeCell ref="B234:C234"/>
  </mergeCells>
  <conditionalFormatting sqref="C176:C220 D237 D231 C222:C230">
    <cfRule type="duplicateValues" dxfId="14" priority="14"/>
  </conditionalFormatting>
  <conditionalFormatting sqref="C211:C220 D172:D173 C174:C183 D231 C222:C230 C193:C205">
    <cfRule type="duplicateValues" dxfId="13" priority="12"/>
  </conditionalFormatting>
  <conditionalFormatting sqref="C211:C220 D237 D231 C222:C230 C190:C205 D172:D173 C174:C188">
    <cfRule type="duplicateValues" dxfId="12" priority="13"/>
  </conditionalFormatting>
  <conditionalFormatting sqref="C222:C230 C211:C220 C174:C205">
    <cfRule type="duplicateValues" dxfId="11" priority="11"/>
  </conditionalFormatting>
  <conditionalFormatting sqref="D231 C175:C230">
    <cfRule type="duplicateValues" dxfId="10" priority="15"/>
  </conditionalFormatting>
  <conditionalFormatting sqref="F309:F348">
    <cfRule type="duplicateValues" dxfId="9" priority="5"/>
  </conditionalFormatting>
  <conditionalFormatting sqref="F310:F348">
    <cfRule type="duplicateValues" dxfId="8" priority="4"/>
  </conditionalFormatting>
  <conditionalFormatting sqref="F341:F348 F309:F317 F327:F335">
    <cfRule type="duplicateValues" dxfId="7" priority="2"/>
  </conditionalFormatting>
  <conditionalFormatting sqref="F341:F348 F309:F335">
    <cfRule type="duplicateValues" dxfId="6" priority="1"/>
  </conditionalFormatting>
  <conditionalFormatting sqref="F341:F348 F324:F335 F309:F322">
    <cfRule type="duplicateValues" dxfId="5" priority="3"/>
  </conditionalFormatting>
  <conditionalFormatting sqref="H176:H220 H222:H230">
    <cfRule type="duplicateValues" dxfId="4" priority="9"/>
  </conditionalFormatting>
  <conditionalFormatting sqref="H176:H230">
    <cfRule type="duplicateValues" dxfId="3" priority="10"/>
  </conditionalFormatting>
  <conditionalFormatting sqref="H211:H220 H176:H183 H222:H230 H193:H205">
    <cfRule type="duplicateValues" dxfId="2" priority="7"/>
  </conditionalFormatting>
  <conditionalFormatting sqref="H211:H220 H222:H230 H190:H205 H176:H188">
    <cfRule type="duplicateValues" dxfId="1" priority="8"/>
  </conditionalFormatting>
  <conditionalFormatting sqref="H222:H230 H211:H220 H176:H205">
    <cfRule type="duplicateValues" dxfId="0" priority="6"/>
  </conditionalFormatting>
  <hyperlinks>
    <hyperlink ref="AC274" r:id="rId1" xr:uid="{468CB5EE-29E9-4CE7-BD27-29FD1EBCC22E}"/>
    <hyperlink ref="AC275:AC286" r:id="rId2" display="\\" xr:uid="{53700F71-7CE3-4DE9-9A40-A1F887C4F967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15CA-4C73-46F6-86FC-000AF33514F7}">
  <dimension ref="A1:E10"/>
  <sheetViews>
    <sheetView workbookViewId="0">
      <selection activeCell="A11" sqref="A11"/>
    </sheetView>
  </sheetViews>
  <sheetFormatPr defaultRowHeight="15" x14ac:dyDescent="0.25"/>
  <cols>
    <col min="1" max="1" width="5.28515625" customWidth="1"/>
    <col min="2" max="2" width="3.140625" bestFit="1" customWidth="1"/>
  </cols>
  <sheetData>
    <row r="1" spans="1:5" x14ac:dyDescent="0.25">
      <c r="A1" t="s">
        <v>71</v>
      </c>
    </row>
    <row r="2" spans="1:5" x14ac:dyDescent="0.25">
      <c r="A2" t="s">
        <v>72</v>
      </c>
      <c r="E2" t="s">
        <v>67</v>
      </c>
    </row>
    <row r="3" spans="1:5" x14ac:dyDescent="0.25">
      <c r="B3" s="8" t="s">
        <v>68</v>
      </c>
      <c r="C3" s="11" t="s">
        <v>69</v>
      </c>
      <c r="D3" s="11" t="s">
        <v>70</v>
      </c>
    </row>
    <row r="4" spans="1:5" x14ac:dyDescent="0.25">
      <c r="B4" s="10">
        <v>1</v>
      </c>
      <c r="C4">
        <v>5</v>
      </c>
      <c r="D4">
        <v>9</v>
      </c>
    </row>
    <row r="5" spans="1:5" x14ac:dyDescent="0.25">
      <c r="B5" s="10">
        <v>2</v>
      </c>
      <c r="C5">
        <f>D4</f>
        <v>9</v>
      </c>
      <c r="D5">
        <v>12</v>
      </c>
    </row>
    <row r="6" spans="1:5" x14ac:dyDescent="0.25">
      <c r="B6" s="10">
        <v>3</v>
      </c>
      <c r="C6">
        <f>D5</f>
        <v>12</v>
      </c>
      <c r="D6">
        <v>16</v>
      </c>
    </row>
    <row r="7" spans="1:5" x14ac:dyDescent="0.25">
      <c r="B7" s="10">
        <v>4</v>
      </c>
      <c r="C7">
        <f>D6</f>
        <v>16</v>
      </c>
      <c r="D7">
        <v>20</v>
      </c>
    </row>
    <row r="8" spans="1:5" x14ac:dyDescent="0.25">
      <c r="B8" s="10">
        <v>5</v>
      </c>
      <c r="C8">
        <f>D7</f>
        <v>20</v>
      </c>
      <c r="D8">
        <v>24</v>
      </c>
    </row>
    <row r="10" spans="1:5" x14ac:dyDescent="0.25">
      <c r="A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w.o. multplex</vt:lpstr>
      <vt:lpstr>w.o. mplex</vt:lpstr>
      <vt:lpstr>w. mplex v1</vt:lpstr>
      <vt:lpstr>w. mplex v2</vt:lpstr>
      <vt:lpstr>260620 w. mplex v3</vt:lpstr>
      <vt:lpstr>260630 Manual diagram</vt:lpstr>
      <vt:lpstr>260703 MC ppt</vt:lpstr>
      <vt:lpstr>260713 Manual diagram</vt:lpstr>
      <vt:lpstr>260720 - Draw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Henriquez Venegas (Student)</dc:creator>
  <cp:lastModifiedBy>Carla Henriquez Venegas (Student)</cp:lastModifiedBy>
  <dcterms:created xsi:type="dcterms:W3CDTF">2026-06-16T03:14:24Z</dcterms:created>
  <dcterms:modified xsi:type="dcterms:W3CDTF">2026-07-21T15:58:06Z</dcterms:modified>
</cp:coreProperties>
</file>